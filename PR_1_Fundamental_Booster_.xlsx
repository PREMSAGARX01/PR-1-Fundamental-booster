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xr:revisionPtr revIDLastSave="0" documentId="8_{E8672B32-4DE1-4BB4-AF8E-7AD5655DC7B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ject Instructions" sheetId="1" r:id="rId1"/>
    <sheet name="Students Grade" sheetId="2" r:id="rId2"/>
    <sheet name="Sales Data" sheetId="3" r:id="rId3"/>
    <sheet name="Employee Data" sheetId="4" r:id="rId4"/>
    <sheet name="Assignments Dashboard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C6" i="5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C4" i="5"/>
  <c r="C3" i="5"/>
  <c r="C2" i="5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G21" i="3"/>
  <c r="H21" i="3" s="1"/>
  <c r="I21" i="3" s="1"/>
  <c r="G20" i="3"/>
  <c r="H20" i="3" s="1"/>
  <c r="I20" i="3" s="1"/>
  <c r="G19" i="3"/>
  <c r="H19" i="3" s="1"/>
  <c r="I19" i="3" s="1"/>
  <c r="G18" i="3"/>
  <c r="H18" i="3" s="1"/>
  <c r="I18" i="3" s="1"/>
  <c r="G17" i="3"/>
  <c r="H17" i="3" s="1"/>
  <c r="I17" i="3" s="1"/>
  <c r="G16" i="3"/>
  <c r="H16" i="3" s="1"/>
  <c r="I16" i="3" s="1"/>
  <c r="G15" i="3"/>
  <c r="H15" i="3" s="1"/>
  <c r="I15" i="3" s="1"/>
  <c r="G14" i="3"/>
  <c r="H14" i="3" s="1"/>
  <c r="I14" i="3" s="1"/>
  <c r="G13" i="3"/>
  <c r="H13" i="3" s="1"/>
  <c r="I13" i="3" s="1"/>
  <c r="G12" i="3"/>
  <c r="H12" i="3" s="1"/>
  <c r="I12" i="3" s="1"/>
  <c r="G11" i="3"/>
  <c r="H11" i="3" s="1"/>
  <c r="I11" i="3" s="1"/>
  <c r="G10" i="3"/>
  <c r="H10" i="3" s="1"/>
  <c r="I10" i="3" s="1"/>
  <c r="G9" i="3"/>
  <c r="H9" i="3" s="1"/>
  <c r="I9" i="3" s="1"/>
  <c r="G8" i="3"/>
  <c r="H8" i="3" s="1"/>
  <c r="I8" i="3" s="1"/>
  <c r="G7" i="3"/>
  <c r="H7" i="3" s="1"/>
  <c r="I7" i="3" s="1"/>
  <c r="G6" i="3"/>
  <c r="H6" i="3" s="1"/>
  <c r="I6" i="3" s="1"/>
  <c r="G5" i="3"/>
  <c r="H5" i="3" s="1"/>
  <c r="I5" i="3" s="1"/>
  <c r="G4" i="3"/>
  <c r="H4" i="3" s="1"/>
  <c r="I4" i="3" s="1"/>
  <c r="G3" i="3"/>
  <c r="H3" i="3" s="1"/>
  <c r="I3" i="3" s="1"/>
  <c r="G2" i="3"/>
  <c r="H2" i="3" s="1"/>
  <c r="I2" i="3" s="1"/>
  <c r="J21" i="2"/>
  <c r="H21" i="2"/>
  <c r="I21" i="2" s="1"/>
  <c r="G21" i="2"/>
  <c r="J20" i="2"/>
  <c r="H20" i="2"/>
  <c r="I20" i="2" s="1"/>
  <c r="G20" i="2"/>
  <c r="J19" i="2"/>
  <c r="H19" i="2"/>
  <c r="I19" i="2" s="1"/>
  <c r="G19" i="2"/>
  <c r="J18" i="2"/>
  <c r="H18" i="2"/>
  <c r="I18" i="2" s="1"/>
  <c r="G18" i="2"/>
  <c r="J17" i="2"/>
  <c r="H17" i="2"/>
  <c r="I17" i="2" s="1"/>
  <c r="G17" i="2"/>
  <c r="J16" i="2"/>
  <c r="H16" i="2"/>
  <c r="I16" i="2" s="1"/>
  <c r="G16" i="2"/>
  <c r="J15" i="2"/>
  <c r="H15" i="2"/>
  <c r="I15" i="2" s="1"/>
  <c r="G15" i="2"/>
  <c r="J14" i="2"/>
  <c r="H14" i="2"/>
  <c r="I14" i="2" s="1"/>
  <c r="G14" i="2"/>
  <c r="J13" i="2"/>
  <c r="H13" i="2"/>
  <c r="I13" i="2" s="1"/>
  <c r="G13" i="2"/>
  <c r="J12" i="2"/>
  <c r="H12" i="2"/>
  <c r="I12" i="2" s="1"/>
  <c r="G12" i="2"/>
  <c r="J11" i="2"/>
  <c r="H11" i="2"/>
  <c r="I11" i="2" s="1"/>
  <c r="G11" i="2"/>
  <c r="J10" i="2"/>
  <c r="H10" i="2"/>
  <c r="I10" i="2" s="1"/>
  <c r="G10" i="2"/>
  <c r="J9" i="2"/>
  <c r="H9" i="2"/>
  <c r="I9" i="2" s="1"/>
  <c r="G9" i="2"/>
  <c r="J8" i="2"/>
  <c r="H8" i="2"/>
  <c r="I8" i="2" s="1"/>
  <c r="G8" i="2"/>
  <c r="J7" i="2"/>
  <c r="H7" i="2"/>
  <c r="I7" i="2" s="1"/>
  <c r="G7" i="2"/>
  <c r="J6" i="2"/>
  <c r="H6" i="2"/>
  <c r="I6" i="2" s="1"/>
  <c r="G6" i="2"/>
  <c r="J5" i="2"/>
  <c r="H5" i="2"/>
  <c r="I5" i="2" s="1"/>
  <c r="G5" i="2"/>
  <c r="J4" i="2"/>
  <c r="H4" i="2"/>
  <c r="I4" i="2" s="1"/>
  <c r="G4" i="2"/>
  <c r="J3" i="2"/>
  <c r="H3" i="2"/>
  <c r="I3" i="2" s="1"/>
  <c r="G3" i="2"/>
  <c r="J2" i="2"/>
  <c r="H2" i="2"/>
  <c r="I2" i="2" s="1"/>
  <c r="G2" i="2"/>
  <c r="C7" i="5"/>
</calcChain>
</file>

<file path=xl/sharedStrings.xml><?xml version="1.0" encoding="utf-8"?>
<sst xmlns="http://schemas.openxmlformats.org/spreadsheetml/2006/main" count="262" uniqueCount="196">
  <si>
    <t>PR. 1 Fundamental Booster</t>
  </si>
  <si>
    <t/>
  </si>
  <si>
    <t>Topics:</t>
  </si>
  <si>
    <t>- Relative &amp; Absolute References, Formatting, Data Input</t>
  </si>
  <si>
    <t>- IF Formulas, Nested IFs, IF with AND/OR</t>
  </si>
  <si>
    <t>- COUNTIFS, SUMIFS, AVERAGEIFS</t>
  </si>
  <si>
    <t>- Lookup Functions (VLOOKUP, XLOOKUP, XMATCH)</t>
  </si>
  <si>
    <t>- INDEX/MATCH for dynamic searches</t>
  </si>
  <si>
    <t>- TEXT Functions for string manipulations</t>
  </si>
  <si>
    <t>- INDIRECT and OFFSET for dynamic references</t>
  </si>
  <si>
    <t>- Date/Time, Math Functions, FILTER function</t>
  </si>
  <si>
    <t>Main Tasks:</t>
  </si>
  <si>
    <t>1. Apply IF formulas to classify student grades.</t>
  </si>
  <si>
    <t>Completed in 'Students Grade' col H &amp; I</t>
  </si>
  <si>
    <t>2. Use COUNTIFS to count students scoring above 60.</t>
  </si>
  <si>
    <t>Completed in 'Assignments Dashboard'</t>
  </si>
  <si>
    <t>3. Use VLOOKUP to find a product price from sales data.</t>
  </si>
  <si>
    <t>4. Apply XLOOKUP to fetch employee salaries dynamically.</t>
  </si>
  <si>
    <t>5. Format and analyze date of joining in Employee data.</t>
  </si>
  <si>
    <t>Completed in 'Employee Data' col F &amp; G</t>
  </si>
  <si>
    <t>6. Use FILTER function to extract students with grades above 80.</t>
  </si>
  <si>
    <t>NOTE: The dashboard sheet contains all the isolated formula assignments.</t>
  </si>
  <si>
    <t>Student ID</t>
  </si>
  <si>
    <t>Name</t>
  </si>
  <si>
    <t>Math</t>
  </si>
  <si>
    <t>Science</t>
  </si>
  <si>
    <t>English</t>
  </si>
  <si>
    <t>Enrollment Date</t>
  </si>
  <si>
    <t>Total Score</t>
  </si>
  <si>
    <t>Average Score</t>
  </si>
  <si>
    <t>Grade (IF)</t>
  </si>
  <si>
    <t>Math&amp;Sci &gt; 80 (IF/AND)</t>
  </si>
  <si>
    <t>Student 1</t>
  </si>
  <si>
    <t>2018-01-01 00:00:00</t>
  </si>
  <si>
    <t>Student 2</t>
  </si>
  <si>
    <t>2018-06-30 00:00:00</t>
  </si>
  <si>
    <t>Student 3</t>
  </si>
  <si>
    <t>2018-12-27 00:00:00</t>
  </si>
  <si>
    <t>Student 4</t>
  </si>
  <si>
    <t>2019-06-25 00:00:00</t>
  </si>
  <si>
    <t>Student 5</t>
  </si>
  <si>
    <t>2019-12-22 00:00:00</t>
  </si>
  <si>
    <t>Student 6</t>
  </si>
  <si>
    <t>2020-06-19 00:00:00</t>
  </si>
  <si>
    <t>Student 7</t>
  </si>
  <si>
    <t>2020-12-16 00:00:00</t>
  </si>
  <si>
    <t>Student 8</t>
  </si>
  <si>
    <t>2021-06-14 00:00:00</t>
  </si>
  <si>
    <t>Student 9</t>
  </si>
  <si>
    <t>2021-12-11 00:00:00</t>
  </si>
  <si>
    <t>Student 10</t>
  </si>
  <si>
    <t>2022-06-09 00:00:00</t>
  </si>
  <si>
    <t>Student 11</t>
  </si>
  <si>
    <t>2022-12-06 00:00:00</t>
  </si>
  <si>
    <t>Student 12</t>
  </si>
  <si>
    <t>2023-06-04 00:00:00</t>
  </si>
  <si>
    <t>Student 13</t>
  </si>
  <si>
    <t>2023-12-01 00:00:00</t>
  </si>
  <si>
    <t>Student 14</t>
  </si>
  <si>
    <t>2024-05-29 00:00:00</t>
  </si>
  <si>
    <t>Student 15</t>
  </si>
  <si>
    <t>2024-11-25 00:00:00</t>
  </si>
  <si>
    <t>Student 16</t>
  </si>
  <si>
    <t>2025-05-24 00:00:00</t>
  </si>
  <si>
    <t>Student 17</t>
  </si>
  <si>
    <t>2025-11-20 00:00:00</t>
  </si>
  <si>
    <t>Student 18</t>
  </si>
  <si>
    <t>2026-05-19 00:00:00</t>
  </si>
  <si>
    <t>Student 19</t>
  </si>
  <si>
    <t>2026-11-15 00:00:00</t>
  </si>
  <si>
    <t>Student 20</t>
  </si>
  <si>
    <t>2027-05-14 00:00:00</t>
  </si>
  <si>
    <t>Sales ID</t>
  </si>
  <si>
    <t>Product</t>
  </si>
  <si>
    <t>Region</t>
  </si>
  <si>
    <t>Salesperson</t>
  </si>
  <si>
    <t>Amount</t>
  </si>
  <si>
    <t>Date</t>
  </si>
  <si>
    <t>Discount Eligible (IF/OR)</t>
  </si>
  <si>
    <t>Discount Amt (Math)</t>
  </si>
  <si>
    <t>Final Amount</t>
  </si>
  <si>
    <t>Keyboard</t>
  </si>
  <si>
    <t>South</t>
  </si>
  <si>
    <t>Person 1</t>
  </si>
  <si>
    <t>2023-01-01 00:00:00</t>
  </si>
  <si>
    <t>Printer</t>
  </si>
  <si>
    <t>West</t>
  </si>
  <si>
    <t>Person 2</t>
  </si>
  <si>
    <t>2023-01-16 00:00:00</t>
  </si>
  <si>
    <t>Mouse</t>
  </si>
  <si>
    <t>Person 3</t>
  </si>
  <si>
    <t>2023-01-31 00:00:00</t>
  </si>
  <si>
    <t>East</t>
  </si>
  <si>
    <t>Person 4</t>
  </si>
  <si>
    <t>2023-02-15 00:00:00</t>
  </si>
  <si>
    <t>North</t>
  </si>
  <si>
    <t>Person 5</t>
  </si>
  <si>
    <t>2023-03-02 00:00:00</t>
  </si>
  <si>
    <t>Person 6</t>
  </si>
  <si>
    <t>2023-03-17 00:00:00</t>
  </si>
  <si>
    <t>Person 7</t>
  </si>
  <si>
    <t>2023-04-01 00:00:00</t>
  </si>
  <si>
    <t>Person 8</t>
  </si>
  <si>
    <t>2023-04-16 00:00:00</t>
  </si>
  <si>
    <t>Person 9</t>
  </si>
  <si>
    <t>2023-05-01 00:00:00</t>
  </si>
  <si>
    <t>Person 10</t>
  </si>
  <si>
    <t>2023-05-16 00:00:00</t>
  </si>
  <si>
    <t>Person 11</t>
  </si>
  <si>
    <t>2023-05-31 00:00:00</t>
  </si>
  <si>
    <t>Monitor</t>
  </si>
  <si>
    <t>Person 12</t>
  </si>
  <si>
    <t>2023-06-15 00:00:00</t>
  </si>
  <si>
    <t>Laptop</t>
  </si>
  <si>
    <t>Person 13</t>
  </si>
  <si>
    <t>2023-06-30 00:00:00</t>
  </si>
  <si>
    <t>Person 14</t>
  </si>
  <si>
    <t>2023-07-15 00:00:00</t>
  </si>
  <si>
    <t>Person 15</t>
  </si>
  <si>
    <t>2023-07-30 00:00:00</t>
  </si>
  <si>
    <t>Person 16</t>
  </si>
  <si>
    <t>2023-08-14 00:00:00</t>
  </si>
  <si>
    <t>Person 17</t>
  </si>
  <si>
    <t>2023-08-29 00:00:00</t>
  </si>
  <si>
    <t>Person 18</t>
  </si>
  <si>
    <t>2023-09-13 00:00:00</t>
  </si>
  <si>
    <t>Person 19</t>
  </si>
  <si>
    <t>2023-09-28 00:00:00</t>
  </si>
  <si>
    <t>Person 20</t>
  </si>
  <si>
    <t>2023-10-13 00:00:00</t>
  </si>
  <si>
    <t>Employee ID</t>
  </si>
  <si>
    <t>Department</t>
  </si>
  <si>
    <t>Salary</t>
  </si>
  <si>
    <t>Joining Date</t>
  </si>
  <si>
    <t>First Name (TEXT)</t>
  </si>
  <si>
    <t>UPPER Name</t>
  </si>
  <si>
    <t>Tenure in Days (DATE)</t>
  </si>
  <si>
    <t>Employee 1</t>
  </si>
  <si>
    <t>Finance</t>
  </si>
  <si>
    <t>2015-01-01 00:00:00</t>
  </si>
  <si>
    <t>Employee 2</t>
  </si>
  <si>
    <t>2015-09-08 00:00:00</t>
  </si>
  <si>
    <t>Employee 3</t>
  </si>
  <si>
    <t>HR</t>
  </si>
  <si>
    <t>2016-05-15 00:00:00</t>
  </si>
  <si>
    <t>Employee 4</t>
  </si>
  <si>
    <t>2017-01-20 00:00:00</t>
  </si>
  <si>
    <t>Employee 5</t>
  </si>
  <si>
    <t>IT</t>
  </si>
  <si>
    <t>2017-09-27 00:00:00</t>
  </si>
  <si>
    <t>Employee 6</t>
  </si>
  <si>
    <t>2018-06-04 00:00:00</t>
  </si>
  <si>
    <t>Employee 7</t>
  </si>
  <si>
    <t>Marketing</t>
  </si>
  <si>
    <t>2019-02-09 00:00:00</t>
  </si>
  <si>
    <t>Employee 8</t>
  </si>
  <si>
    <t>2019-10-17 00:00:00</t>
  </si>
  <si>
    <t>Employee 9</t>
  </si>
  <si>
    <t>2020-06-23 00:00:00</t>
  </si>
  <si>
    <t>Employee 10</t>
  </si>
  <si>
    <t>2021-02-28 00:00:00</t>
  </si>
  <si>
    <t>Employee 11</t>
  </si>
  <si>
    <t>2021-11-05 00:00:00</t>
  </si>
  <si>
    <t>Employee 12</t>
  </si>
  <si>
    <t>2022-07-13 00:00:00</t>
  </si>
  <si>
    <t>Employee 13</t>
  </si>
  <si>
    <t>2023-03-20 00:00:00</t>
  </si>
  <si>
    <t>Employee 14</t>
  </si>
  <si>
    <t>2023-11-25 00:00:00</t>
  </si>
  <si>
    <t>Employee 15</t>
  </si>
  <si>
    <t>2024-08-01 00:00:00</t>
  </si>
  <si>
    <t>Employee 16</t>
  </si>
  <si>
    <t>2025-04-08 00:00:00</t>
  </si>
  <si>
    <t>Employee 17</t>
  </si>
  <si>
    <t>2025-12-14 00:00:00</t>
  </si>
  <si>
    <t>Employee 18</t>
  </si>
  <si>
    <t>2026-08-21 00:00:00</t>
  </si>
  <si>
    <t>Employee 19</t>
  </si>
  <si>
    <t>2027-04-28 00:00:00</t>
  </si>
  <si>
    <t>Employee 20</t>
  </si>
  <si>
    <t>2028-01-03 00:00:00</t>
  </si>
  <si>
    <t>Assignment Category</t>
  </si>
  <si>
    <t>Description</t>
  </si>
  <si>
    <t>Formula / Result</t>
  </si>
  <si>
    <t>IF</t>
  </si>
  <si>
    <t>Classify student grades</t>
  </si>
  <si>
    <t>COUNTIFS</t>
  </si>
  <si>
    <t>Count students scoring above 60 in Math</t>
  </si>
  <si>
    <t>VLOOKUP</t>
  </si>
  <si>
    <t>Find product price from Sales Data</t>
  </si>
  <si>
    <t>XLOOKUP</t>
  </si>
  <si>
    <t>Fetch employee salary dynamically</t>
  </si>
  <si>
    <t>DATE</t>
  </si>
  <si>
    <t>Format and analyze employee joining date</t>
  </si>
  <si>
    <t>FILTER</t>
  </si>
  <si>
    <t>Extract students with grades above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</si>
</sst>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"/>
    <numFmt numFmtId="166" formatCode="\₹###,##0"/>
    <numFmt numFmtId="167" formatCode="\₹###,##0.00"/>
  </numFmts>
  <fonts count="6">
    <font>
      <sz val="11"/>
      <color theme="1"/>
      <name val="Calibri"/>
    </font>
    <font>
      <b/>
      <sz val="12"/>
      <name val="Calibri"/>
    </font>
    <font>
      <i/>
      <sz val="11"/>
      <color rgb="FF44546A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2EFDA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2" fontId="0" fillId="0" borderId="0" xfId="0" applyNumberFormat="1"/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5" fontId="0" fillId="0" borderId="0" xfId="0" applyNumberFormat="1"/>
    <xf numFmtId="1" fontId="0" fillId="0" borderId="0" xfId="0" applyNumberFormat="1"/>
    <xf numFmtId="166" fontId="0" fillId="0" borderId="2" xfId="0" applyNumberFormat="1" applyFont="1" applyFill="1" applyBorder="1"/>
    <xf numFmtId="167" fontId="0" fillId="0" borderId="2" xfId="0" applyNumberFormat="1" applyFont="1" applyFill="1" applyBorder="1"/>
    <xf numFmtId="167" fontId="0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zoomScaleNormal="100" zoomScaleSheetLayoutView="100" workbookViewId="0"/>
  </sheetViews>
  <sheetFormatPr defaultRowHeight="15"/>
  <cols>
    <col min="1" max="1" width="60" customWidth="1"/>
    <col min="2" max="2" width="50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2" t="s">
        <v>1</v>
      </c>
    </row>
    <row r="3" spans="1:2">
      <c r="A3" s="4" t="s">
        <v>3</v>
      </c>
      <c r="B3" s="2" t="s">
        <v>1</v>
      </c>
    </row>
    <row r="4" spans="1:2">
      <c r="A4" s="4" t="s">
        <v>4</v>
      </c>
      <c r="B4" s="2" t="s">
        <v>1</v>
      </c>
    </row>
    <row r="5" spans="1:2">
      <c r="A5" s="4" t="s">
        <v>5</v>
      </c>
      <c r="B5" s="2" t="s">
        <v>1</v>
      </c>
    </row>
    <row r="6" spans="1:2">
      <c r="A6" s="4" t="s">
        <v>6</v>
      </c>
      <c r="B6" s="2" t="s">
        <v>1</v>
      </c>
    </row>
    <row r="7" spans="1:2">
      <c r="A7" s="4" t="s">
        <v>7</v>
      </c>
      <c r="B7" s="2" t="s">
        <v>1</v>
      </c>
    </row>
    <row r="8" spans="1:2">
      <c r="A8" s="4" t="s">
        <v>8</v>
      </c>
      <c r="B8" s="2" t="s">
        <v>1</v>
      </c>
    </row>
    <row r="9" spans="1:2">
      <c r="A9" s="4" t="s">
        <v>9</v>
      </c>
      <c r="B9" s="2" t="s">
        <v>1</v>
      </c>
    </row>
    <row r="10" spans="1:2">
      <c r="A10" s="4" t="s">
        <v>10</v>
      </c>
      <c r="B10" s="2" t="s">
        <v>1</v>
      </c>
    </row>
    <row r="11" spans="1:2">
      <c r="A11" s="4" t="s">
        <v>1</v>
      </c>
      <c r="B11" s="2" t="s">
        <v>1</v>
      </c>
    </row>
    <row r="12" spans="1:2">
      <c r="A12" s="3" t="s">
        <v>11</v>
      </c>
      <c r="B12" s="2" t="s">
        <v>1</v>
      </c>
    </row>
    <row r="13" spans="1:2">
      <c r="A13" s="4" t="s">
        <v>12</v>
      </c>
      <c r="B13" s="2" t="s">
        <v>13</v>
      </c>
    </row>
    <row r="14" spans="1:2">
      <c r="A14" s="4" t="s">
        <v>14</v>
      </c>
      <c r="B14" s="2" t="s">
        <v>15</v>
      </c>
    </row>
    <row r="15" spans="1:2">
      <c r="A15" s="4" t="s">
        <v>16</v>
      </c>
      <c r="B15" s="2" t="s">
        <v>15</v>
      </c>
    </row>
    <row r="16" spans="1:2">
      <c r="A16" s="4" t="s">
        <v>17</v>
      </c>
      <c r="B16" s="2" t="s">
        <v>15</v>
      </c>
    </row>
    <row r="17" spans="1:2">
      <c r="A17" s="4" t="s">
        <v>18</v>
      </c>
      <c r="B17" s="2" t="s">
        <v>19</v>
      </c>
    </row>
    <row r="18" spans="1:2">
      <c r="A18" s="4" t="s">
        <v>20</v>
      </c>
      <c r="B18" s="2" t="s">
        <v>15</v>
      </c>
    </row>
    <row r="19" spans="1:2">
      <c r="A19" s="3" t="s">
        <v>1</v>
      </c>
      <c r="B19" s="2" t="s">
        <v>1</v>
      </c>
    </row>
    <row r="20" spans="1:2">
      <c r="A20" s="4" t="s">
        <v>21</v>
      </c>
      <c r="B20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zoomScaleNormal="100" zoomScaleSheetLayoutView="100" workbookViewId="0"/>
  </sheetViews>
  <sheetFormatPr defaultRowHeight="15"/>
  <cols>
    <col min="1" max="2" width="12" customWidth="1"/>
    <col min="3" max="3" width="6" customWidth="1"/>
    <col min="4" max="5" width="9" customWidth="1"/>
    <col min="6" max="6" width="21" customWidth="1"/>
    <col min="7" max="7" width="15" customWidth="1"/>
    <col min="8" max="8" width="19" customWidth="1"/>
    <col min="9" max="9" width="60" customWidth="1"/>
    <col min="10" max="10" width="41" customWidth="1"/>
  </cols>
  <sheetData>
    <row r="1" spans="1:10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</row>
    <row r="2" spans="1:10">
      <c r="A2">
        <v>1001</v>
      </c>
      <c r="B2" t="s">
        <v>32</v>
      </c>
      <c r="C2">
        <v>61</v>
      </c>
      <c r="D2">
        <v>48</v>
      </c>
      <c r="E2">
        <v>76</v>
      </c>
      <c r="F2" s="9" t="s">
        <v>33</v>
      </c>
      <c r="G2">
        <f>SUM(C2:E2)</f>
        <v>185</v>
      </c>
      <c r="H2" s="6">
        <f>AVERAGE(C2:E2)</f>
        <v>61.666666666666664</v>
      </c>
      <c r="I2" t="str">
        <f>IF(H2&gt;=80,"A",IF(H2&gt;=60,"B",IF(H2&gt;=40,"C","F")))</f>
        <v>B</v>
      </c>
      <c r="J2" t="str">
        <f>IF(AND(C2&gt;80,D2&gt;80),"Yes","No")</f>
        <v>No</v>
      </c>
    </row>
    <row r="3" spans="1:10">
      <c r="A3">
        <v>1002</v>
      </c>
      <c r="B3" t="s">
        <v>34</v>
      </c>
      <c r="C3">
        <v>78</v>
      </c>
      <c r="D3">
        <v>76</v>
      </c>
      <c r="E3">
        <v>70</v>
      </c>
      <c r="F3" s="9" t="s">
        <v>35</v>
      </c>
      <c r="G3">
        <f>SUM(C3:E3)</f>
        <v>224</v>
      </c>
      <c r="H3" s="6">
        <f>AVERAGE(C3:E3)</f>
        <v>74.666666666666671</v>
      </c>
      <c r="I3" t="str">
        <f>IF(H3&gt;=80,"A",IF(H3&gt;=60,"B",IF(H3&gt;=40,"C","F")))</f>
        <v>B</v>
      </c>
      <c r="J3" t="str">
        <f>IF(AND(C3&gt;80,D3&gt;80),"Yes","No")</f>
        <v>No</v>
      </c>
    </row>
    <row r="4" spans="1:10">
      <c r="A4">
        <v>1003</v>
      </c>
      <c r="B4" t="s">
        <v>36</v>
      </c>
      <c r="C4">
        <v>97</v>
      </c>
      <c r="D4">
        <v>60</v>
      </c>
      <c r="E4">
        <v>51</v>
      </c>
      <c r="F4" s="9" t="s">
        <v>37</v>
      </c>
      <c r="G4">
        <f>SUM(C4:E4)</f>
        <v>208</v>
      </c>
      <c r="H4" s="6">
        <f>AVERAGE(C4:E4)</f>
        <v>69.333333333333329</v>
      </c>
      <c r="I4" t="str">
        <f>IF(H4&gt;=80,"A",IF(H4&gt;=60,"B",IF(H4&gt;=40,"C","F")))</f>
        <v>B</v>
      </c>
      <c r="J4" t="str">
        <f>IF(AND(C4&gt;80,D4&gt;80),"Yes","No")</f>
        <v>No</v>
      </c>
    </row>
    <row r="5" spans="1:10">
      <c r="A5">
        <v>1004</v>
      </c>
      <c r="B5" t="s">
        <v>38</v>
      </c>
      <c r="C5">
        <v>74</v>
      </c>
      <c r="D5">
        <v>55</v>
      </c>
      <c r="E5">
        <v>46</v>
      </c>
      <c r="F5" s="9" t="s">
        <v>39</v>
      </c>
      <c r="G5">
        <f>SUM(C5:E5)</f>
        <v>175</v>
      </c>
      <c r="H5" s="6">
        <f>AVERAGE(C5:E5)</f>
        <v>58.333333333333336</v>
      </c>
      <c r="I5" t="str">
        <f>IF(H5&gt;=80,"A",IF(H5&gt;=60,"B",IF(H5&gt;=40,"C","F")))</f>
        <v>C</v>
      </c>
      <c r="J5" t="str">
        <f>IF(AND(C5&gt;80,D5&gt;80),"Yes","No")</f>
        <v>No</v>
      </c>
    </row>
    <row r="6" spans="1:10">
      <c r="A6">
        <v>1005</v>
      </c>
      <c r="B6" t="s">
        <v>40</v>
      </c>
      <c r="C6">
        <v>68</v>
      </c>
      <c r="D6">
        <v>74</v>
      </c>
      <c r="E6">
        <v>84</v>
      </c>
      <c r="F6" s="9" t="s">
        <v>41</v>
      </c>
      <c r="G6">
        <f>SUM(C6:E6)</f>
        <v>226</v>
      </c>
      <c r="H6" s="6">
        <f>AVERAGE(C6:E6)</f>
        <v>75.333333333333329</v>
      </c>
      <c r="I6" t="str">
        <f>IF(H6&gt;=80,"A",IF(H6&gt;=60,"B",IF(H6&gt;=40,"C","F")))</f>
        <v>B</v>
      </c>
      <c r="J6" t="str">
        <f>IF(AND(C6&gt;80,D6&gt;80),"Yes","No")</f>
        <v>No</v>
      </c>
    </row>
    <row r="7" spans="1:10">
      <c r="A7">
        <v>1006</v>
      </c>
      <c r="B7" t="s">
        <v>42</v>
      </c>
      <c r="C7">
        <v>80</v>
      </c>
      <c r="D7">
        <v>70</v>
      </c>
      <c r="E7">
        <v>65</v>
      </c>
      <c r="F7" s="9" t="s">
        <v>43</v>
      </c>
      <c r="G7">
        <f>SUM(C7:E7)</f>
        <v>215</v>
      </c>
      <c r="H7" s="6">
        <f>AVERAGE(C7:E7)</f>
        <v>71.666666666666671</v>
      </c>
      <c r="I7" t="str">
        <f>IF(H7&gt;=80,"A",IF(H7&gt;=60,"B",IF(H7&gt;=40,"C","F")))</f>
        <v>B</v>
      </c>
      <c r="J7" t="str">
        <f>IF(AND(C7&gt;80,D7&gt;80),"Yes","No")</f>
        <v>No</v>
      </c>
    </row>
    <row r="8" spans="1:10">
      <c r="A8">
        <v>1007</v>
      </c>
      <c r="B8" t="s">
        <v>44</v>
      </c>
      <c r="C8">
        <v>75</v>
      </c>
      <c r="D8">
        <v>47</v>
      </c>
      <c r="E8">
        <v>78</v>
      </c>
      <c r="F8" s="9" t="s">
        <v>45</v>
      </c>
      <c r="G8">
        <f>SUM(C8:E8)</f>
        <v>200</v>
      </c>
      <c r="H8" s="6">
        <f>AVERAGE(C8:E8)</f>
        <v>66.666666666666671</v>
      </c>
      <c r="I8" t="str">
        <f>IF(H8&gt;=80,"A",IF(H8&gt;=60,"B",IF(H8&gt;=40,"C","F")))</f>
        <v>B</v>
      </c>
      <c r="J8" t="str">
        <f>IF(AND(C8&gt;80,D8&gt;80),"Yes","No")</f>
        <v>No</v>
      </c>
    </row>
    <row r="9" spans="1:10">
      <c r="A9">
        <v>1008</v>
      </c>
      <c r="B9" t="s">
        <v>46</v>
      </c>
      <c r="C9">
        <v>94</v>
      </c>
      <c r="D9">
        <v>67</v>
      </c>
      <c r="E9">
        <v>64</v>
      </c>
      <c r="F9" s="9" t="s">
        <v>47</v>
      </c>
      <c r="G9">
        <f>SUM(C9:E9)</f>
        <v>225</v>
      </c>
      <c r="H9" s="6">
        <f>AVERAGE(C9:E9)</f>
        <v>75</v>
      </c>
      <c r="I9" t="str">
        <f>IF(H9&gt;=80,"A",IF(H9&gt;=60,"B",IF(H9&gt;=40,"C","F")))</f>
        <v>B</v>
      </c>
      <c r="J9" t="str">
        <f>IF(AND(C9&gt;80,D9&gt;80),"Yes","No")</f>
        <v>No</v>
      </c>
    </row>
    <row r="10" spans="1:10">
      <c r="A10">
        <v>1009</v>
      </c>
      <c r="B10" t="s">
        <v>48</v>
      </c>
      <c r="C10">
        <v>41</v>
      </c>
      <c r="D10">
        <v>75</v>
      </c>
      <c r="E10">
        <v>56</v>
      </c>
      <c r="F10" s="9" t="s">
        <v>49</v>
      </c>
      <c r="G10">
        <f>SUM(C10:E10)</f>
        <v>172</v>
      </c>
      <c r="H10" s="6">
        <f>AVERAGE(C10:E10)</f>
        <v>57.333333333333336</v>
      </c>
      <c r="I10" t="str">
        <f>IF(H10&gt;=80,"A",IF(H10&gt;=60,"B",IF(H10&gt;=40,"C","F")))</f>
        <v>C</v>
      </c>
      <c r="J10" t="str">
        <f>IF(AND(C10&gt;80,D10&gt;80),"Yes","No")</f>
        <v>No</v>
      </c>
    </row>
    <row r="11" spans="1:10">
      <c r="A11">
        <v>1010</v>
      </c>
      <c r="B11" t="s">
        <v>50</v>
      </c>
      <c r="C11">
        <v>98</v>
      </c>
      <c r="D11">
        <v>54</v>
      </c>
      <c r="E11">
        <v>58</v>
      </c>
      <c r="F11" s="9" t="s">
        <v>51</v>
      </c>
      <c r="G11">
        <f>SUM(C11:E11)</f>
        <v>210</v>
      </c>
      <c r="H11" s="6">
        <f>AVERAGE(C11:E11)</f>
        <v>70</v>
      </c>
      <c r="I11" t="str">
        <f>IF(H11&gt;=80,"A",IF(H11&gt;=60,"B",IF(H11&gt;=40,"C","F")))</f>
        <v>B</v>
      </c>
      <c r="J11" t="str">
        <f>IF(AND(C11&gt;80,D11&gt;80),"Yes","No")</f>
        <v>No</v>
      </c>
    </row>
    <row r="12" spans="1:10">
      <c r="A12">
        <v>1011</v>
      </c>
      <c r="B12" t="s">
        <v>52</v>
      </c>
      <c r="C12">
        <v>73</v>
      </c>
      <c r="D12">
        <v>79</v>
      </c>
      <c r="E12">
        <v>53</v>
      </c>
      <c r="F12" s="9" t="s">
        <v>53</v>
      </c>
      <c r="G12">
        <f>SUM(C12:E12)</f>
        <v>205</v>
      </c>
      <c r="H12" s="6">
        <f>AVERAGE(C12:E12)</f>
        <v>68.333333333333329</v>
      </c>
      <c r="I12" t="str">
        <f>IF(H12&gt;=80,"A",IF(H12&gt;=60,"B",IF(H12&gt;=40,"C","F")))</f>
        <v>B</v>
      </c>
      <c r="J12" t="str">
        <f>IF(AND(C12&gt;80,D12&gt;80),"Yes","No")</f>
        <v>No</v>
      </c>
    </row>
    <row r="13" spans="1:10">
      <c r="A13">
        <v>1012</v>
      </c>
      <c r="B13" t="s">
        <v>54</v>
      </c>
      <c r="C13">
        <v>85</v>
      </c>
      <c r="D13">
        <v>89</v>
      </c>
      <c r="E13">
        <v>79</v>
      </c>
      <c r="F13" s="9" t="s">
        <v>55</v>
      </c>
      <c r="G13">
        <f>SUM(C13:E13)</f>
        <v>253</v>
      </c>
      <c r="H13" s="6">
        <f>AVERAGE(C13:E13)</f>
        <v>84.333333333333329</v>
      </c>
      <c r="I13" t="str">
        <f>IF(H13&gt;=80,"A",IF(H13&gt;=60,"B",IF(H13&gt;=40,"C","F")))</f>
        <v>A</v>
      </c>
      <c r="J13" t="str">
        <f>IF(AND(C13&gt;80,D13&gt;80),"Yes","No")</f>
        <v>Yes</v>
      </c>
    </row>
    <row r="14" spans="1:10">
      <c r="A14">
        <v>1013</v>
      </c>
      <c r="B14" t="s">
        <v>56</v>
      </c>
      <c r="C14">
        <v>98</v>
      </c>
      <c r="D14">
        <v>90</v>
      </c>
      <c r="E14">
        <v>97</v>
      </c>
      <c r="F14" s="9" t="s">
        <v>57</v>
      </c>
      <c r="G14">
        <f>SUM(C14:E14)</f>
        <v>285</v>
      </c>
      <c r="H14" s="6">
        <f>AVERAGE(C14:E14)</f>
        <v>95</v>
      </c>
      <c r="I14" t="str">
        <f>IF(H14&gt;=80,"A",IF(H14&gt;=60,"B",IF(H14&gt;=40,"C","F")))</f>
        <v>A</v>
      </c>
      <c r="J14" t="str">
        <f>IF(AND(C14&gt;80,D14&gt;80),"Yes","No")</f>
        <v>Yes</v>
      </c>
    </row>
    <row r="15" spans="1:10">
      <c r="A15">
        <v>1014</v>
      </c>
      <c r="B15" t="s">
        <v>58</v>
      </c>
      <c r="C15">
        <v>93</v>
      </c>
      <c r="D15">
        <v>40</v>
      </c>
      <c r="E15">
        <v>44</v>
      </c>
      <c r="F15" s="9" t="s">
        <v>59</v>
      </c>
      <c r="G15">
        <f>SUM(C15:E15)</f>
        <v>177</v>
      </c>
      <c r="H15" s="6">
        <f>AVERAGE(C15:E15)</f>
        <v>59</v>
      </c>
      <c r="I15" t="str">
        <f>IF(H15&gt;=80,"A",IF(H15&gt;=60,"B",IF(H15&gt;=40,"C","F")))</f>
        <v>C</v>
      </c>
      <c r="J15" t="str">
        <f>IF(AND(C15&gt;80,D15&gt;80),"Yes","No")</f>
        <v>No</v>
      </c>
    </row>
    <row r="16" spans="1:10">
      <c r="A16">
        <v>1015</v>
      </c>
      <c r="B16" t="s">
        <v>60</v>
      </c>
      <c r="C16">
        <v>70</v>
      </c>
      <c r="D16">
        <v>51</v>
      </c>
      <c r="E16">
        <v>75</v>
      </c>
      <c r="F16" s="9" t="s">
        <v>61</v>
      </c>
      <c r="G16">
        <f>SUM(C16:E16)</f>
        <v>196</v>
      </c>
      <c r="H16" s="6">
        <f>AVERAGE(C16:E16)</f>
        <v>65.333333333333329</v>
      </c>
      <c r="I16" t="str">
        <f>IF(H16&gt;=80,"A",IF(H16&gt;=60,"B",IF(H16&gt;=40,"C","F")))</f>
        <v>B</v>
      </c>
      <c r="J16" t="str">
        <f>IF(AND(C16&gt;80,D16&gt;80),"Yes","No")</f>
        <v>No</v>
      </c>
    </row>
    <row r="17" spans="1:10">
      <c r="A17">
        <v>1016</v>
      </c>
      <c r="B17" t="s">
        <v>62</v>
      </c>
      <c r="C17">
        <v>98</v>
      </c>
      <c r="D17">
        <v>77</v>
      </c>
      <c r="E17">
        <v>60</v>
      </c>
      <c r="F17" s="9" t="s">
        <v>63</v>
      </c>
      <c r="G17">
        <f>SUM(C17:E17)</f>
        <v>235</v>
      </c>
      <c r="H17" s="6">
        <f>AVERAGE(C17:E17)</f>
        <v>78.333333333333329</v>
      </c>
      <c r="I17" t="str">
        <f>IF(H17&gt;=80,"A",IF(H17&gt;=60,"B",IF(H17&gt;=40,"C","F")))</f>
        <v>B</v>
      </c>
      <c r="J17" t="str">
        <f>IF(AND(C17&gt;80,D17&gt;80),"Yes","No")</f>
        <v>No</v>
      </c>
    </row>
    <row r="18" spans="1:10">
      <c r="A18">
        <v>1017</v>
      </c>
      <c r="B18" t="s">
        <v>64</v>
      </c>
      <c r="C18">
        <v>66</v>
      </c>
      <c r="D18">
        <v>59</v>
      </c>
      <c r="E18">
        <v>40</v>
      </c>
      <c r="F18" s="9" t="s">
        <v>65</v>
      </c>
      <c r="G18">
        <f>SUM(C18:E18)</f>
        <v>165</v>
      </c>
      <c r="H18" s="6">
        <f>AVERAGE(C18:E18)</f>
        <v>55</v>
      </c>
      <c r="I18" t="str">
        <f>IF(H18&gt;=80,"A",IF(H18&gt;=60,"B",IF(H18&gt;=40,"C","F")))</f>
        <v>C</v>
      </c>
      <c r="J18" t="str">
        <f>IF(AND(C18&gt;80,D18&gt;80),"Yes","No")</f>
        <v>No</v>
      </c>
    </row>
    <row r="19" spans="1:10">
      <c r="A19">
        <v>1018</v>
      </c>
      <c r="B19" t="s">
        <v>66</v>
      </c>
      <c r="C19">
        <v>82</v>
      </c>
      <c r="D19">
        <v>48</v>
      </c>
      <c r="E19">
        <v>79</v>
      </c>
      <c r="F19" s="9" t="s">
        <v>67</v>
      </c>
      <c r="G19">
        <f>SUM(C19:E19)</f>
        <v>209</v>
      </c>
      <c r="H19" s="6">
        <f>AVERAGE(C19:E19)</f>
        <v>69.666666666666671</v>
      </c>
      <c r="I19" t="str">
        <f>IF(H19&gt;=80,"A",IF(H19&gt;=60,"B",IF(H19&gt;=40,"C","F")))</f>
        <v>B</v>
      </c>
      <c r="J19" t="str">
        <f>IF(AND(C19&gt;80,D19&gt;80),"Yes","No")</f>
        <v>No</v>
      </c>
    </row>
    <row r="20" spans="1:10">
      <c r="A20">
        <v>1019</v>
      </c>
      <c r="B20" t="s">
        <v>68</v>
      </c>
      <c r="C20">
        <v>90</v>
      </c>
      <c r="D20">
        <v>78</v>
      </c>
      <c r="E20">
        <v>60</v>
      </c>
      <c r="F20" s="9" t="s">
        <v>69</v>
      </c>
      <c r="G20">
        <f>SUM(C20:E20)</f>
        <v>228</v>
      </c>
      <c r="H20" s="6">
        <f>AVERAGE(C20:E20)</f>
        <v>76</v>
      </c>
      <c r="I20" t="str">
        <f>IF(H20&gt;=80,"A",IF(H20&gt;=60,"B",IF(H20&gt;=40,"C","F")))</f>
        <v>B</v>
      </c>
      <c r="J20" t="str">
        <f>IF(AND(C20&gt;80,D20&gt;80),"Yes","No")</f>
        <v>No</v>
      </c>
    </row>
    <row r="21" spans="1:10">
      <c r="A21">
        <v>1020</v>
      </c>
      <c r="B21" t="s">
        <v>70</v>
      </c>
      <c r="C21">
        <v>83</v>
      </c>
      <c r="D21">
        <v>92</v>
      </c>
      <c r="E21">
        <v>55</v>
      </c>
      <c r="F21" s="9" t="s">
        <v>71</v>
      </c>
      <c r="G21">
        <f>SUM(C21:E21)</f>
        <v>230</v>
      </c>
      <c r="H21" s="6">
        <f>AVERAGE(C21:E21)</f>
        <v>76.666666666666671</v>
      </c>
      <c r="I21" t="str">
        <f>IF(H21&gt;=80,"A",IF(H21&gt;=60,"B",IF(H21&gt;=40,"C","F")))</f>
        <v>B</v>
      </c>
      <c r="J21" t="str">
        <f>IF(AND(C21&gt;80,D21&gt;80),"Yes","No")</f>
        <v>Yes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zoomScaleNormal="100" zoomScaleSheetLayoutView="100" workbookViewId="0"/>
  </sheetViews>
  <sheetFormatPr defaultRowHeight="15"/>
  <cols>
    <col min="1" max="2" width="10" customWidth="1"/>
    <col min="3" max="3" width="8" customWidth="1"/>
    <col min="4" max="4" width="13" customWidth="1"/>
    <col min="5" max="5" width="8" customWidth="1"/>
    <col min="6" max="6" width="21" customWidth="1"/>
    <col min="7" max="7" width="47" customWidth="1"/>
    <col min="8" max="8" width="28" customWidth="1"/>
    <col min="9" max="9" width="14" customWidth="1"/>
  </cols>
  <sheetData>
    <row r="1" spans="1:9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</row>
    <row r="2" spans="1:9">
      <c r="A2">
        <v>2001</v>
      </c>
      <c r="B2" t="s">
        <v>81</v>
      </c>
      <c r="C2" t="s">
        <v>82</v>
      </c>
      <c r="D2" t="s">
        <v>83</v>
      </c>
      <c r="E2" s="11">
        <v>7048</v>
      </c>
      <c r="F2" s="9" t="s">
        <v>84</v>
      </c>
      <c r="G2" t="str">
        <f>IF(OR(B2="Laptop", E2&gt;25000), "Yes", "No")</f>
        <v>No</v>
      </c>
      <c r="H2" s="12">
        <f>IF(G2="Yes", E2*0.1, 0)</f>
        <v>0</v>
      </c>
      <c r="I2" s="12">
        <f>E2-H2</f>
        <v>7048</v>
      </c>
    </row>
    <row r="3" spans="1:9">
      <c r="A3">
        <v>2002</v>
      </c>
      <c r="B3" t="s">
        <v>85</v>
      </c>
      <c r="C3" t="s">
        <v>86</v>
      </c>
      <c r="D3" t="s">
        <v>87</v>
      </c>
      <c r="E3" s="11">
        <v>17428</v>
      </c>
      <c r="F3" s="9" t="s">
        <v>88</v>
      </c>
      <c r="G3" t="str">
        <f>IF(OR(B3="Laptop", E3&gt;25000), "Yes", "No")</f>
        <v>No</v>
      </c>
      <c r="H3" s="12">
        <f>IF(G3="Yes", E3*0.1, 0)</f>
        <v>0</v>
      </c>
      <c r="I3" s="12">
        <f>E3-H3</f>
        <v>17428</v>
      </c>
    </row>
    <row r="4" spans="1:9">
      <c r="A4">
        <v>2003</v>
      </c>
      <c r="B4" t="s">
        <v>89</v>
      </c>
      <c r="C4" t="s">
        <v>82</v>
      </c>
      <c r="D4" t="s">
        <v>90</v>
      </c>
      <c r="E4" s="11">
        <v>23672</v>
      </c>
      <c r="F4" s="9" t="s">
        <v>91</v>
      </c>
      <c r="G4" t="str">
        <f>IF(OR(B4="Laptop", E4&gt;25000), "Yes", "No")</f>
        <v>No</v>
      </c>
      <c r="H4" s="12">
        <f>IF(G4="Yes", E4*0.1, 0)</f>
        <v>0</v>
      </c>
      <c r="I4" s="12">
        <f>E4-H4</f>
        <v>23672</v>
      </c>
    </row>
    <row r="5" spans="1:9">
      <c r="A5">
        <v>2004</v>
      </c>
      <c r="B5" t="s">
        <v>85</v>
      </c>
      <c r="C5" t="s">
        <v>92</v>
      </c>
      <c r="D5" t="s">
        <v>93</v>
      </c>
      <c r="E5" s="11">
        <v>5264</v>
      </c>
      <c r="F5" s="9" t="s">
        <v>94</v>
      </c>
      <c r="G5" t="str">
        <f>IF(OR(B5="Laptop", E5&gt;25000), "Yes", "No")</f>
        <v>No</v>
      </c>
      <c r="H5" s="12">
        <f>IF(G5="Yes", E5*0.1, 0)</f>
        <v>0</v>
      </c>
      <c r="I5" s="12">
        <f>E5-H5</f>
        <v>5264</v>
      </c>
    </row>
    <row r="6" spans="1:9">
      <c r="A6">
        <v>2005</v>
      </c>
      <c r="B6" t="s">
        <v>81</v>
      </c>
      <c r="C6" t="s">
        <v>95</v>
      </c>
      <c r="D6" t="s">
        <v>96</v>
      </c>
      <c r="E6" s="11">
        <v>43388</v>
      </c>
      <c r="F6" s="9" t="s">
        <v>97</v>
      </c>
      <c r="G6" t="str">
        <f>IF(OR(B6="Laptop", E6&gt;25000), "Yes", "No")</f>
        <v>Yes</v>
      </c>
      <c r="H6" s="12">
        <f>IF(G6="Yes", E6*0.1, 0)</f>
        <v>4338.8</v>
      </c>
      <c r="I6" s="12">
        <f>E6-H6</f>
        <v>39049.199999999997</v>
      </c>
    </row>
    <row r="7" spans="1:9">
      <c r="A7">
        <v>2006</v>
      </c>
      <c r="B7" t="s">
        <v>89</v>
      </c>
      <c r="C7" t="s">
        <v>95</v>
      </c>
      <c r="D7" t="s">
        <v>98</v>
      </c>
      <c r="E7" s="11">
        <v>19757</v>
      </c>
      <c r="F7" s="9" t="s">
        <v>99</v>
      </c>
      <c r="G7" t="str">
        <f>IF(OR(B7="Laptop", E7&gt;25000), "Yes", "No")</f>
        <v>No</v>
      </c>
      <c r="H7" s="12">
        <f>IF(G7="Yes", E7*0.1, 0)</f>
        <v>0</v>
      </c>
      <c r="I7" s="12">
        <f>E7-H7</f>
        <v>19757</v>
      </c>
    </row>
    <row r="8" spans="1:9">
      <c r="A8">
        <v>2007</v>
      </c>
      <c r="B8" t="s">
        <v>89</v>
      </c>
      <c r="C8" t="s">
        <v>92</v>
      </c>
      <c r="D8" t="s">
        <v>100</v>
      </c>
      <c r="E8" s="11">
        <v>32058</v>
      </c>
      <c r="F8" s="9" t="s">
        <v>101</v>
      </c>
      <c r="G8" t="str">
        <f>IF(OR(B8="Laptop", E8&gt;25000), "Yes", "No")</f>
        <v>Yes</v>
      </c>
      <c r="H8" s="12">
        <f>IF(G8="Yes", E8*0.1, 0)</f>
        <v>3205.8</v>
      </c>
      <c r="I8" s="12">
        <f>E8-H8</f>
        <v>28852.2</v>
      </c>
    </row>
    <row r="9" spans="1:9">
      <c r="A9">
        <v>2008</v>
      </c>
      <c r="B9" t="s">
        <v>81</v>
      </c>
      <c r="C9" t="s">
        <v>92</v>
      </c>
      <c r="D9" t="s">
        <v>102</v>
      </c>
      <c r="E9" s="11">
        <v>46429</v>
      </c>
      <c r="F9" s="9" t="s">
        <v>103</v>
      </c>
      <c r="G9" t="str">
        <f>IF(OR(B9="Laptop", E9&gt;25000), "Yes", "No")</f>
        <v>Yes</v>
      </c>
      <c r="H9" s="12">
        <f>IF(G9="Yes", E9*0.1, 0)</f>
        <v>4642.9000000000005</v>
      </c>
      <c r="I9" s="12">
        <f>E9-H9</f>
        <v>41786.1</v>
      </c>
    </row>
    <row r="10" spans="1:9">
      <c r="A10">
        <v>2009</v>
      </c>
      <c r="B10" t="s">
        <v>85</v>
      </c>
      <c r="C10" t="s">
        <v>92</v>
      </c>
      <c r="D10" t="s">
        <v>104</v>
      </c>
      <c r="E10" s="11">
        <v>19746</v>
      </c>
      <c r="F10" s="9" t="s">
        <v>105</v>
      </c>
      <c r="G10" t="str">
        <f>IF(OR(B10="Laptop", E10&gt;25000), "Yes", "No")</f>
        <v>No</v>
      </c>
      <c r="H10" s="12">
        <f>IF(G10="Yes", E10*0.1, 0)</f>
        <v>0</v>
      </c>
      <c r="I10" s="12">
        <f>E10-H10</f>
        <v>19746</v>
      </c>
    </row>
    <row r="11" spans="1:9">
      <c r="A11">
        <v>2010</v>
      </c>
      <c r="B11" t="s">
        <v>81</v>
      </c>
      <c r="C11" t="s">
        <v>82</v>
      </c>
      <c r="D11" t="s">
        <v>106</v>
      </c>
      <c r="E11" s="11">
        <v>35185</v>
      </c>
      <c r="F11" s="9" t="s">
        <v>107</v>
      </c>
      <c r="G11" t="str">
        <f>IF(OR(B11="Laptop", E11&gt;25000), "Yes", "No")</f>
        <v>Yes</v>
      </c>
      <c r="H11" s="12">
        <f>IF(G11="Yes", E11*0.1, 0)</f>
        <v>3518.5</v>
      </c>
      <c r="I11" s="12">
        <f>E11-H11</f>
        <v>31666.5</v>
      </c>
    </row>
    <row r="12" spans="1:9">
      <c r="A12">
        <v>2011</v>
      </c>
      <c r="B12" t="s">
        <v>81</v>
      </c>
      <c r="C12" t="s">
        <v>92</v>
      </c>
      <c r="D12" t="s">
        <v>108</v>
      </c>
      <c r="E12" s="11">
        <v>33920</v>
      </c>
      <c r="F12" s="9" t="s">
        <v>109</v>
      </c>
      <c r="G12" t="str">
        <f>IF(OR(B12="Laptop", E12&gt;25000), "Yes", "No")</f>
        <v>Yes</v>
      </c>
      <c r="H12" s="12">
        <f>IF(G12="Yes", E12*0.1, 0)</f>
        <v>3392</v>
      </c>
      <c r="I12" s="12">
        <f>E12-H12</f>
        <v>30528</v>
      </c>
    </row>
    <row r="13" spans="1:9">
      <c r="A13">
        <v>2012</v>
      </c>
      <c r="B13" t="s">
        <v>110</v>
      </c>
      <c r="C13" t="s">
        <v>95</v>
      </c>
      <c r="D13" t="s">
        <v>111</v>
      </c>
      <c r="E13" s="11">
        <v>5611</v>
      </c>
      <c r="F13" s="9" t="s">
        <v>112</v>
      </c>
      <c r="G13" t="str">
        <f>IF(OR(B13="Laptop", E13&gt;25000), "Yes", "No")</f>
        <v>No</v>
      </c>
      <c r="H13" s="12">
        <f>IF(G13="Yes", E13*0.1, 0)</f>
        <v>0</v>
      </c>
      <c r="I13" s="12">
        <f>E13-H13</f>
        <v>5611</v>
      </c>
    </row>
    <row r="14" spans="1:9">
      <c r="A14">
        <v>2013</v>
      </c>
      <c r="B14" t="s">
        <v>113</v>
      </c>
      <c r="C14" t="s">
        <v>92</v>
      </c>
      <c r="D14" t="s">
        <v>114</v>
      </c>
      <c r="E14" s="11">
        <v>15560</v>
      </c>
      <c r="F14" s="9" t="s">
        <v>115</v>
      </c>
      <c r="G14" t="str">
        <f>IF(OR(B14="Laptop", E14&gt;25000), "Yes", "No")</f>
        <v>Yes</v>
      </c>
      <c r="H14" s="12">
        <f>IF(G14="Yes", E14*0.1, 0)</f>
        <v>1556</v>
      </c>
      <c r="I14" s="12">
        <f>E14-H14</f>
        <v>14004</v>
      </c>
    </row>
    <row r="15" spans="1:9">
      <c r="A15">
        <v>2014</v>
      </c>
      <c r="B15" t="s">
        <v>113</v>
      </c>
      <c r="C15" t="s">
        <v>82</v>
      </c>
      <c r="D15" t="s">
        <v>116</v>
      </c>
      <c r="E15" s="11">
        <v>7283</v>
      </c>
      <c r="F15" s="9" t="s">
        <v>117</v>
      </c>
      <c r="G15" t="str">
        <f>IF(OR(B15="Laptop", E15&gt;25000), "Yes", "No")</f>
        <v>Yes</v>
      </c>
      <c r="H15" s="12">
        <f>IF(G15="Yes", E15*0.1, 0)</f>
        <v>728.30000000000007</v>
      </c>
      <c r="I15" s="12">
        <f>E15-H15</f>
        <v>6554.7</v>
      </c>
    </row>
    <row r="16" spans="1:9">
      <c r="A16">
        <v>2015</v>
      </c>
      <c r="B16" t="s">
        <v>113</v>
      </c>
      <c r="C16" t="s">
        <v>92</v>
      </c>
      <c r="D16" t="s">
        <v>118</v>
      </c>
      <c r="E16" s="11">
        <v>15678</v>
      </c>
      <c r="F16" s="9" t="s">
        <v>119</v>
      </c>
      <c r="G16" t="str">
        <f>IF(OR(B16="Laptop", E16&gt;25000), "Yes", "No")</f>
        <v>Yes</v>
      </c>
      <c r="H16" s="12">
        <f>IF(G16="Yes", E16*0.1, 0)</f>
        <v>1567.8000000000002</v>
      </c>
      <c r="I16" s="12">
        <f>E16-H16</f>
        <v>14110.2</v>
      </c>
    </row>
    <row r="17" spans="1:9">
      <c r="A17">
        <v>2016</v>
      </c>
      <c r="B17" t="s">
        <v>89</v>
      </c>
      <c r="C17" t="s">
        <v>92</v>
      </c>
      <c r="D17" t="s">
        <v>120</v>
      </c>
      <c r="E17" s="11">
        <v>5277</v>
      </c>
      <c r="F17" s="9" t="s">
        <v>121</v>
      </c>
      <c r="G17" t="str">
        <f>IF(OR(B17="Laptop", E17&gt;25000), "Yes", "No")</f>
        <v>No</v>
      </c>
      <c r="H17" s="12">
        <f>IF(G17="Yes", E17*0.1, 0)</f>
        <v>0</v>
      </c>
      <c r="I17" s="12">
        <f>E17-H17</f>
        <v>5277</v>
      </c>
    </row>
    <row r="18" spans="1:9">
      <c r="A18">
        <v>2017</v>
      </c>
      <c r="B18" t="s">
        <v>110</v>
      </c>
      <c r="C18" t="s">
        <v>95</v>
      </c>
      <c r="D18" t="s">
        <v>122</v>
      </c>
      <c r="E18" s="11">
        <v>41871</v>
      </c>
      <c r="F18" s="9" t="s">
        <v>123</v>
      </c>
      <c r="G18" t="str">
        <f>IF(OR(B18="Laptop", E18&gt;25000), "Yes", "No")</f>
        <v>Yes</v>
      </c>
      <c r="H18" s="12">
        <f>IF(G18="Yes", E18*0.1, 0)</f>
        <v>4187.1000000000004</v>
      </c>
      <c r="I18" s="12">
        <f>E18-H18</f>
        <v>37683.9</v>
      </c>
    </row>
    <row r="19" spans="1:9">
      <c r="A19">
        <v>2018</v>
      </c>
      <c r="B19" t="s">
        <v>110</v>
      </c>
      <c r="C19" t="s">
        <v>86</v>
      </c>
      <c r="D19" t="s">
        <v>124</v>
      </c>
      <c r="E19" s="11">
        <v>38161</v>
      </c>
      <c r="F19" s="9" t="s">
        <v>125</v>
      </c>
      <c r="G19" t="str">
        <f>IF(OR(B19="Laptop", E19&gt;25000), "Yes", "No")</f>
        <v>Yes</v>
      </c>
      <c r="H19" s="12">
        <f>IF(G19="Yes", E19*0.1, 0)</f>
        <v>3816.1000000000004</v>
      </c>
      <c r="I19" s="12">
        <f>E19-H19</f>
        <v>34344.9</v>
      </c>
    </row>
    <row r="20" spans="1:9">
      <c r="A20">
        <v>2019</v>
      </c>
      <c r="B20" t="s">
        <v>89</v>
      </c>
      <c r="C20" t="s">
        <v>86</v>
      </c>
      <c r="D20" t="s">
        <v>126</v>
      </c>
      <c r="E20" s="11">
        <v>30436</v>
      </c>
      <c r="F20" s="9" t="s">
        <v>127</v>
      </c>
      <c r="G20" t="str">
        <f>IF(OR(B20="Laptop", E20&gt;25000), "Yes", "No")</f>
        <v>Yes</v>
      </c>
      <c r="H20" s="12">
        <f>IF(G20="Yes", E20*0.1, 0)</f>
        <v>3043.6000000000004</v>
      </c>
      <c r="I20" s="12">
        <f>E20-H20</f>
        <v>27392.400000000001</v>
      </c>
    </row>
    <row r="21" spans="1:9">
      <c r="A21">
        <v>2020</v>
      </c>
      <c r="B21" t="s">
        <v>85</v>
      </c>
      <c r="C21" t="s">
        <v>86</v>
      </c>
      <c r="D21" t="s">
        <v>128</v>
      </c>
      <c r="E21" s="11">
        <v>33953</v>
      </c>
      <c r="F21" s="9" t="s">
        <v>129</v>
      </c>
      <c r="G21" t="str">
        <f>IF(OR(B21="Laptop", E21&gt;25000), "Yes", "No")</f>
        <v>Yes</v>
      </c>
      <c r="H21" s="12">
        <f>IF(G21="Yes", E21*0.1, 0)</f>
        <v>3395.3</v>
      </c>
      <c r="I21" s="12">
        <f>E21-H21</f>
        <v>30557.7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zoomScaleNormal="100" zoomScaleSheetLayoutView="100" workbookViewId="0"/>
  </sheetViews>
  <sheetFormatPr defaultRowHeight="15"/>
  <cols>
    <col min="1" max="2" width="13" customWidth="1"/>
    <col min="3" max="3" width="12" customWidth="1"/>
    <col min="4" max="4" width="8" customWidth="1"/>
    <col min="5" max="5" width="21" customWidth="1"/>
    <col min="6" max="6" width="44" customWidth="1"/>
    <col min="7" max="7" width="13" customWidth="1"/>
    <col min="8" max="8" width="42" customWidth="1"/>
  </cols>
  <sheetData>
    <row r="1" spans="1:8">
      <c r="A1" s="5" t="s">
        <v>130</v>
      </c>
      <c r="B1" s="5" t="s">
        <v>23</v>
      </c>
      <c r="C1" s="5" t="s">
        <v>131</v>
      </c>
      <c r="D1" s="5" t="s">
        <v>132</v>
      </c>
      <c r="E1" s="5" t="s">
        <v>133</v>
      </c>
      <c r="F1" s="5" t="s">
        <v>134</v>
      </c>
      <c r="G1" s="5" t="s">
        <v>135</v>
      </c>
      <c r="H1" s="5" t="s">
        <v>136</v>
      </c>
    </row>
    <row r="2" spans="1:8">
      <c r="A2">
        <v>3001</v>
      </c>
      <c r="B2" t="s">
        <v>137</v>
      </c>
      <c r="C2" t="s">
        <v>138</v>
      </c>
      <c r="D2" s="11">
        <v>86766</v>
      </c>
      <c r="E2" s="9" t="s">
        <v>139</v>
      </c>
      <c r="F2" t="str">
        <f>IFERROR(LEFT(B2, FIND(" ", B2)-1), B2)</f>
        <v>Employee</v>
      </c>
      <c r="G2" t="str">
        <f>UPPER(B2)</f>
        <v>EMPLOYEE 1</v>
      </c>
      <c r="H2" s="10">
        <f t="shared" ref="H2:H21" ca="1" si="0">_xlfn.SINGLE(_xlfn.DAYS(TODAY(), DATEVALUE(LEFT(E2, 10))))</f>
        <v>4297</v>
      </c>
    </row>
    <row r="3" spans="1:8">
      <c r="A3">
        <v>3002</v>
      </c>
      <c r="B3" t="s">
        <v>140</v>
      </c>
      <c r="C3" t="s">
        <v>138</v>
      </c>
      <c r="D3" s="11">
        <v>31943</v>
      </c>
      <c r="E3" s="9" t="s">
        <v>141</v>
      </c>
      <c r="F3" t="str">
        <f>IFERROR(LEFT(B3, FIND(" ", B3)-1), B3)</f>
        <v>Employee</v>
      </c>
      <c r="G3" t="str">
        <f>UPPER(B3)</f>
        <v>EMPLOYEE 2</v>
      </c>
      <c r="H3" s="10">
        <f t="shared" ca="1" si="0"/>
        <v>4047</v>
      </c>
    </row>
    <row r="4" spans="1:8">
      <c r="A4">
        <v>3003</v>
      </c>
      <c r="B4" t="s">
        <v>142</v>
      </c>
      <c r="C4" t="s">
        <v>143</v>
      </c>
      <c r="D4" s="11">
        <v>63374</v>
      </c>
      <c r="E4" s="9" t="s">
        <v>144</v>
      </c>
      <c r="F4" t="str">
        <f>IFERROR(LEFT(B4, FIND(" ", B4)-1), B4)</f>
        <v>Employee</v>
      </c>
      <c r="G4" t="str">
        <f>UPPER(B4)</f>
        <v>EMPLOYEE 3</v>
      </c>
      <c r="H4" s="10">
        <f t="shared" ca="1" si="0"/>
        <v>3797</v>
      </c>
    </row>
    <row r="5" spans="1:8">
      <c r="A5">
        <v>3004</v>
      </c>
      <c r="B5" t="s">
        <v>145</v>
      </c>
      <c r="C5" t="s">
        <v>138</v>
      </c>
      <c r="D5" s="11">
        <v>109972</v>
      </c>
      <c r="E5" s="9" t="s">
        <v>146</v>
      </c>
      <c r="F5" t="str">
        <f>IFERROR(LEFT(B5, FIND(" ", B5)-1), B5)</f>
        <v>Employee</v>
      </c>
      <c r="G5" t="str">
        <f>UPPER(B5)</f>
        <v>EMPLOYEE 4</v>
      </c>
      <c r="H5" s="10">
        <f t="shared" ca="1" si="0"/>
        <v>3547</v>
      </c>
    </row>
    <row r="6" spans="1:8">
      <c r="A6">
        <v>3005</v>
      </c>
      <c r="B6" t="s">
        <v>147</v>
      </c>
      <c r="C6" t="s">
        <v>148</v>
      </c>
      <c r="D6" s="11">
        <v>54149</v>
      </c>
      <c r="E6" s="9" t="s">
        <v>149</v>
      </c>
      <c r="F6" t="str">
        <f>IFERROR(LEFT(B6, FIND(" ", B6)-1), B6)</f>
        <v>Employee</v>
      </c>
      <c r="G6" t="str">
        <f>UPPER(B6)</f>
        <v>EMPLOYEE 5</v>
      </c>
      <c r="H6" s="10">
        <f t="shared" ca="1" si="0"/>
        <v>3297</v>
      </c>
    </row>
    <row r="7" spans="1:8">
      <c r="A7">
        <v>3006</v>
      </c>
      <c r="B7" t="s">
        <v>150</v>
      </c>
      <c r="C7" t="s">
        <v>148</v>
      </c>
      <c r="D7" s="11">
        <v>78689</v>
      </c>
      <c r="E7" s="9" t="s">
        <v>151</v>
      </c>
      <c r="F7" t="str">
        <f>IFERROR(LEFT(B7, FIND(" ", B7)-1), B7)</f>
        <v>Employee</v>
      </c>
      <c r="G7" t="str">
        <f>UPPER(B7)</f>
        <v>EMPLOYEE 6</v>
      </c>
      <c r="H7" s="10">
        <f t="shared" ca="1" si="0"/>
        <v>3047</v>
      </c>
    </row>
    <row r="8" spans="1:8">
      <c r="A8">
        <v>3007</v>
      </c>
      <c r="B8" t="s">
        <v>152</v>
      </c>
      <c r="C8" t="s">
        <v>153</v>
      </c>
      <c r="D8" s="11">
        <v>35960</v>
      </c>
      <c r="E8" s="9" t="s">
        <v>154</v>
      </c>
      <c r="F8" t="str">
        <f>IFERROR(LEFT(B8, FIND(" ", B8)-1), B8)</f>
        <v>Employee</v>
      </c>
      <c r="G8" t="str">
        <f>UPPER(B8)</f>
        <v>EMPLOYEE 7</v>
      </c>
      <c r="H8" s="10">
        <f t="shared" ca="1" si="0"/>
        <v>2797</v>
      </c>
    </row>
    <row r="9" spans="1:8">
      <c r="A9">
        <v>3008</v>
      </c>
      <c r="B9" t="s">
        <v>155</v>
      </c>
      <c r="C9" t="s">
        <v>148</v>
      </c>
      <c r="D9" s="11">
        <v>91659</v>
      </c>
      <c r="E9" s="9" t="s">
        <v>156</v>
      </c>
      <c r="F9" t="str">
        <f>IFERROR(LEFT(B9, FIND(" ", B9)-1), B9)</f>
        <v>Employee</v>
      </c>
      <c r="G9" t="str">
        <f>UPPER(B9)</f>
        <v>EMPLOYEE 8</v>
      </c>
      <c r="H9" s="10">
        <f t="shared" ca="1" si="0"/>
        <v>2547</v>
      </c>
    </row>
    <row r="10" spans="1:8">
      <c r="A10">
        <v>3009</v>
      </c>
      <c r="B10" t="s">
        <v>157</v>
      </c>
      <c r="C10" t="s">
        <v>148</v>
      </c>
      <c r="D10" s="11">
        <v>90423</v>
      </c>
      <c r="E10" s="9" t="s">
        <v>158</v>
      </c>
      <c r="F10" t="str">
        <f>IFERROR(LEFT(B10, FIND(" ", B10)-1), B10)</f>
        <v>Employee</v>
      </c>
      <c r="G10" t="str">
        <f>UPPER(B10)</f>
        <v>EMPLOYEE 9</v>
      </c>
      <c r="H10" s="10">
        <f t="shared" ca="1" si="0"/>
        <v>2297</v>
      </c>
    </row>
    <row r="11" spans="1:8">
      <c r="A11">
        <v>3010</v>
      </c>
      <c r="B11" t="s">
        <v>159</v>
      </c>
      <c r="C11" t="s">
        <v>143</v>
      </c>
      <c r="D11" s="11">
        <v>107877</v>
      </c>
      <c r="E11" s="9" t="s">
        <v>160</v>
      </c>
      <c r="F11" t="str">
        <f>IFERROR(LEFT(B11, FIND(" ", B11)-1), B11)</f>
        <v>Employee</v>
      </c>
      <c r="G11" t="str">
        <f>UPPER(B11)</f>
        <v>EMPLOYEE 10</v>
      </c>
      <c r="H11" s="10">
        <f t="shared" ca="1" si="0"/>
        <v>2047</v>
      </c>
    </row>
    <row r="12" spans="1:8">
      <c r="A12">
        <v>3011</v>
      </c>
      <c r="B12" t="s">
        <v>161</v>
      </c>
      <c r="C12" t="s">
        <v>138</v>
      </c>
      <c r="D12" s="11">
        <v>107634</v>
      </c>
      <c r="E12" s="9" t="s">
        <v>162</v>
      </c>
      <c r="F12" t="str">
        <f>IFERROR(LEFT(B12, FIND(" ", B12)-1), B12)</f>
        <v>Employee</v>
      </c>
      <c r="G12" t="str">
        <f>UPPER(B12)</f>
        <v>EMPLOYEE 11</v>
      </c>
      <c r="H12" s="10">
        <f t="shared" ca="1" si="0"/>
        <v>1797</v>
      </c>
    </row>
    <row r="13" spans="1:8">
      <c r="A13">
        <v>3012</v>
      </c>
      <c r="B13" t="s">
        <v>163</v>
      </c>
      <c r="C13" t="s">
        <v>138</v>
      </c>
      <c r="D13" s="11">
        <v>35226</v>
      </c>
      <c r="E13" s="9" t="s">
        <v>164</v>
      </c>
      <c r="F13" t="str">
        <f>IFERROR(LEFT(B13, FIND(" ", B13)-1), B13)</f>
        <v>Employee</v>
      </c>
      <c r="G13" t="str">
        <f>UPPER(B13)</f>
        <v>EMPLOYEE 12</v>
      </c>
      <c r="H13" s="10">
        <f t="shared" ca="1" si="0"/>
        <v>1547</v>
      </c>
    </row>
    <row r="14" spans="1:8">
      <c r="A14">
        <v>3013</v>
      </c>
      <c r="B14" t="s">
        <v>165</v>
      </c>
      <c r="C14" t="s">
        <v>143</v>
      </c>
      <c r="D14" s="11">
        <v>40872</v>
      </c>
      <c r="E14" s="9" t="s">
        <v>166</v>
      </c>
      <c r="F14" t="str">
        <f>IFERROR(LEFT(B14, FIND(" ", B14)-1), B14)</f>
        <v>Employee</v>
      </c>
      <c r="G14" t="str">
        <f>UPPER(B14)</f>
        <v>EMPLOYEE 13</v>
      </c>
      <c r="H14" s="10">
        <f t="shared" ca="1" si="0"/>
        <v>1297</v>
      </c>
    </row>
    <row r="15" spans="1:8">
      <c r="A15">
        <v>3014</v>
      </c>
      <c r="B15" t="s">
        <v>167</v>
      </c>
      <c r="C15" t="s">
        <v>143</v>
      </c>
      <c r="D15" s="11">
        <v>55378</v>
      </c>
      <c r="E15" s="9" t="s">
        <v>168</v>
      </c>
      <c r="F15" t="str">
        <f>IFERROR(LEFT(B15, FIND(" ", B15)-1), B15)</f>
        <v>Employee</v>
      </c>
      <c r="G15" t="str">
        <f>UPPER(B15)</f>
        <v>EMPLOYEE 14</v>
      </c>
      <c r="H15" s="10">
        <f t="shared" ca="1" si="0"/>
        <v>1047</v>
      </c>
    </row>
    <row r="16" spans="1:8">
      <c r="A16">
        <v>3015</v>
      </c>
      <c r="B16" t="s">
        <v>169</v>
      </c>
      <c r="C16" t="s">
        <v>143</v>
      </c>
      <c r="D16" s="11">
        <v>63297</v>
      </c>
      <c r="E16" s="9" t="s">
        <v>170</v>
      </c>
      <c r="F16" t="str">
        <f>IFERROR(LEFT(B16, FIND(" ", B16)-1), B16)</f>
        <v>Employee</v>
      </c>
      <c r="G16" t="str">
        <f>UPPER(B16)</f>
        <v>EMPLOYEE 15</v>
      </c>
      <c r="H16" s="10">
        <f t="shared" ca="1" si="0"/>
        <v>797</v>
      </c>
    </row>
    <row r="17" spans="1:8">
      <c r="A17">
        <v>3016</v>
      </c>
      <c r="B17" t="s">
        <v>171</v>
      </c>
      <c r="C17" t="s">
        <v>138</v>
      </c>
      <c r="D17" s="11">
        <v>114173</v>
      </c>
      <c r="E17" s="9" t="s">
        <v>172</v>
      </c>
      <c r="F17" t="str">
        <f>IFERROR(LEFT(B17, FIND(" ", B17)-1), B17)</f>
        <v>Employee</v>
      </c>
      <c r="G17" t="str">
        <f>UPPER(B17)</f>
        <v>EMPLOYEE 16</v>
      </c>
      <c r="H17" s="10">
        <f t="shared" ca="1" si="0"/>
        <v>547</v>
      </c>
    </row>
    <row r="18" spans="1:8">
      <c r="A18">
        <v>3017</v>
      </c>
      <c r="B18" t="s">
        <v>173</v>
      </c>
      <c r="C18" t="s">
        <v>143</v>
      </c>
      <c r="D18" s="11">
        <v>86915</v>
      </c>
      <c r="E18" s="9" t="s">
        <v>174</v>
      </c>
      <c r="F18" t="str">
        <f>IFERROR(LEFT(B18, FIND(" ", B18)-1), B18)</f>
        <v>Employee</v>
      </c>
      <c r="G18" t="str">
        <f>UPPER(B18)</f>
        <v>EMPLOYEE 17</v>
      </c>
      <c r="H18" s="10">
        <f t="shared" ca="1" si="0"/>
        <v>297</v>
      </c>
    </row>
    <row r="19" spans="1:8">
      <c r="A19">
        <v>3018</v>
      </c>
      <c r="B19" t="s">
        <v>175</v>
      </c>
      <c r="C19" t="s">
        <v>148</v>
      </c>
      <c r="D19" s="11">
        <v>116284</v>
      </c>
      <c r="E19" s="9" t="s">
        <v>176</v>
      </c>
      <c r="F19" t="str">
        <f>IFERROR(LEFT(B19, FIND(" ", B19)-1), B19)</f>
        <v>Employee</v>
      </c>
      <c r="G19" t="str">
        <f>UPPER(B19)</f>
        <v>EMPLOYEE 18</v>
      </c>
      <c r="H19" s="10">
        <f t="shared" ca="1" si="0"/>
        <v>47</v>
      </c>
    </row>
    <row r="20" spans="1:8">
      <c r="A20">
        <v>3019</v>
      </c>
      <c r="B20" t="s">
        <v>177</v>
      </c>
      <c r="C20" t="s">
        <v>153</v>
      </c>
      <c r="D20" s="11">
        <v>116283</v>
      </c>
      <c r="E20" s="9" t="s">
        <v>178</v>
      </c>
      <c r="F20" t="str">
        <f>IFERROR(LEFT(B20, FIND(" ", B20)-1), B20)</f>
        <v>Employee</v>
      </c>
      <c r="G20" t="str">
        <f>UPPER(B20)</f>
        <v>EMPLOYEE 19</v>
      </c>
      <c r="H20" s="10">
        <f t="shared" ca="1" si="0"/>
        <v>-203</v>
      </c>
    </row>
    <row r="21" spans="1:8">
      <c r="A21">
        <v>3020</v>
      </c>
      <c r="B21" t="s">
        <v>179</v>
      </c>
      <c r="C21" t="s">
        <v>153</v>
      </c>
      <c r="D21" s="11">
        <v>99924</v>
      </c>
      <c r="E21" s="9" t="s">
        <v>180</v>
      </c>
      <c r="F21" t="str">
        <f>IFERROR(LEFT(B21, FIND(" ", B21)-1), B21)</f>
        <v>Employee</v>
      </c>
      <c r="G21" t="str">
        <f>UPPER(B21)</f>
        <v>EMPLOYEE 20</v>
      </c>
      <c r="H21" s="10">
        <f t="shared" ca="1" si="0"/>
        <v>-453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zoomScaleNormal="100" zoomScaleSheetLayoutView="100" workbookViewId="0"/>
  </sheetViews>
  <sheetFormatPr defaultRowHeight="15"/>
  <cols>
    <col min="1" max="1" width="20" customWidth="1"/>
    <col min="2" max="2" width="55" customWidth="1"/>
    <col min="3" max="3" width="75" customWidth="1"/>
  </cols>
  <sheetData>
    <row r="1" spans="1:3">
      <c r="A1" s="14" t="s">
        <v>181</v>
      </c>
      <c r="B1" s="14" t="s">
        <v>182</v>
      </c>
      <c r="C1" s="14" t="s">
        <v>183</v>
      </c>
    </row>
    <row r="2" spans="1:3">
      <c r="A2" s="7" t="s">
        <v>184</v>
      </c>
      <c r="B2" s="7" t="s">
        <v>185</v>
      </c>
      <c r="C2" s="8" t="str">
        <f>IF(AVERAGE('Students Grade'!C2:E2)&gt;=80,"A",IF(AVERAGE('Students Grade'!C2:E2)&gt;=60,"B",IF(AVERAGE('Students Grade'!C2:E2)&gt;=40,"C","F")))</f>
        <v>B</v>
      </c>
    </row>
    <row r="3" spans="1:3">
      <c r="A3" s="7" t="s">
        <v>186</v>
      </c>
      <c r="B3" s="7" t="s">
        <v>187</v>
      </c>
      <c r="C3" s="8">
        <f>COUNTIFS('Students Grade'!C2:C21,"&gt;60")</f>
        <v>19</v>
      </c>
    </row>
    <row r="4" spans="1:3">
      <c r="A4" s="7" t="s">
        <v>188</v>
      </c>
      <c r="B4" s="7" t="s">
        <v>189</v>
      </c>
      <c r="C4" s="13">
        <f>VLOOKUP("Keyboard",'Sales Data'!B2:E21,4,FALSE)</f>
        <v>7048</v>
      </c>
    </row>
    <row r="5" spans="1:3">
      <c r="A5" s="7" t="s">
        <v>190</v>
      </c>
      <c r="B5" s="7" t="s">
        <v>191</v>
      </c>
      <c r="C5" s="13">
        <f>_xlfn.SINGLE(_xlfn.XLOOKUP("Employee 15", 'Employee Data'!B2:B21, 'Employee Data'!D2:D21, "Not Found"))</f>
        <v>63297</v>
      </c>
    </row>
    <row r="6" spans="1:3">
      <c r="A6" s="7" t="s">
        <v>192</v>
      </c>
      <c r="B6" s="7" t="s">
        <v>193</v>
      </c>
      <c r="C6" s="13">
        <f ca="1">_xlfn.SINGLE(_xlfn.DAYS(TODAY(), DATEVALUE(LEFT('Employee Data'!E2, 10))))</f>
        <v>4297</v>
      </c>
    </row>
    <row r="7" spans="1:3">
      <c r="A7" s="7" t="s">
        <v>194</v>
      </c>
      <c r="B7" s="7" t="s">
        <v>195</v>
      </c>
      <c r="C7" s="13" t="str">
        <f>_xlfn._xlws.FILTER('Students Grade'!B2:B21,'Students Grade'!H2:H21&gt;80,"No Students")</f>
        <v>Student 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2026-10-07T16:19:37Z</dcterms:created>
  <dcterms:modified xsi:type="dcterms:W3CDTF">2026-10-07T16:19:37Z</dcterms:modified>
  <cp:category/>
  <cp:contentStatus/>
</cp:coreProperties>
</file>