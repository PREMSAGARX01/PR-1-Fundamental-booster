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structions" sheetId="1" state="visible" r:id="rId1"/>
    <sheet xmlns:r="http://schemas.openxmlformats.org/officeDocument/2006/relationships" name="Students Grade" sheetId="2" state="visible" r:id="rId2"/>
    <sheet xmlns:r="http://schemas.openxmlformats.org/officeDocument/2006/relationships" name="Sales Data" sheetId="3" state="visible" r:id="rId3"/>
    <sheet xmlns:r="http://schemas.openxmlformats.org/officeDocument/2006/relationships" name="Employee Data" sheetId="4" state="visible" r:id="rId4"/>
    <sheet xmlns:r="http://schemas.openxmlformats.org/officeDocument/2006/relationships" name="Assignments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[&gt;=10000000]&quot;₹&quot;##\,##\,##\,##0.00;[&gt;=100000]&quot;₹&quot;##\,##\,##0.00;&quot;₹&quot;##,##0.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44546A"/>
    </font>
    <font>
      <b val="1"/>
      <sz val="11"/>
    </font>
    <font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5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65" fontId="0" fillId="0" borderId="0" pivotButton="0" quotePrefix="0" xfId="0"/>
    <xf numFmtId="166" fontId="0" fillId="0" borderId="0" pivotButton="0" quotePrefix="0" xfId="0"/>
    <xf numFmtId="166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</cols>
  <sheetData>
    <row r="1">
      <c r="A1" s="1" t="inlineStr">
        <is>
          <t>PR. 1 Fundamental Booster</t>
        </is>
      </c>
      <c r="B1" s="2" t="inlineStr"/>
    </row>
    <row r="2">
      <c r="A2" s="3" t="inlineStr">
        <is>
          <t>Topics:</t>
        </is>
      </c>
      <c r="B2" s="2" t="inlineStr"/>
    </row>
    <row r="3">
      <c r="A3" s="4" t="inlineStr">
        <is>
          <t>- Relative &amp; Absolute References, Formatting, Data Input</t>
        </is>
      </c>
      <c r="B3" s="2" t="inlineStr"/>
    </row>
    <row r="4">
      <c r="A4" s="4" t="inlineStr">
        <is>
          <t>- IF Formulas, Nested IFs, IF with AND/OR</t>
        </is>
      </c>
      <c r="B4" s="2" t="inlineStr"/>
    </row>
    <row r="5">
      <c r="A5" s="4" t="inlineStr">
        <is>
          <t>- COUNTIFS, SUMIFS, AVERAGEIFS</t>
        </is>
      </c>
      <c r="B5" s="2" t="inlineStr"/>
    </row>
    <row r="6">
      <c r="A6" s="4" t="inlineStr">
        <is>
          <t>- Lookup Functions (VLOOKUP, XLOOKUP, XMATCH)</t>
        </is>
      </c>
      <c r="B6" s="2" t="inlineStr"/>
    </row>
    <row r="7">
      <c r="A7" s="4" t="inlineStr">
        <is>
          <t>- INDEX/MATCH for dynamic searches</t>
        </is>
      </c>
      <c r="B7" s="2" t="inlineStr"/>
    </row>
    <row r="8">
      <c r="A8" s="4" t="inlineStr">
        <is>
          <t>- TEXT Functions for string manipulations</t>
        </is>
      </c>
      <c r="B8" s="2" t="inlineStr"/>
    </row>
    <row r="9">
      <c r="A9" s="4" t="inlineStr">
        <is>
          <t>- INDIRECT and OFFSET for dynamic references</t>
        </is>
      </c>
      <c r="B9" s="2" t="inlineStr"/>
    </row>
    <row r="10">
      <c r="A10" s="4" t="inlineStr">
        <is>
          <t>- Date/Time, Math Functions, FILTER function</t>
        </is>
      </c>
      <c r="B10" s="2" t="inlineStr"/>
    </row>
    <row r="11">
      <c r="A11" s="4" t="inlineStr"/>
      <c r="B11" s="2" t="inlineStr"/>
    </row>
    <row r="12">
      <c r="A12" s="3" t="inlineStr">
        <is>
          <t>Main Tasks:</t>
        </is>
      </c>
      <c r="B12" s="2" t="inlineStr"/>
    </row>
    <row r="13">
      <c r="A13" s="4" t="inlineStr">
        <is>
          <t>1. Apply IF formulas to classify student grades.</t>
        </is>
      </c>
      <c r="B13" s="2" t="inlineStr">
        <is>
          <t>Completed in 'Students Grade' col I &amp; J (G &amp; H hold Total / Average)</t>
        </is>
      </c>
    </row>
    <row r="14">
      <c r="A14" s="4" t="inlineStr">
        <is>
          <t>2. Use COUNTIFS to count students scoring above 50 in Math.</t>
        </is>
      </c>
      <c r="B14" s="2" t="inlineStr">
        <is>
          <t>Completed in 'Assignments Dashboard'</t>
        </is>
      </c>
    </row>
    <row r="15">
      <c r="A15" s="4" t="inlineStr">
        <is>
          <t>3. Use VLOOKUP to fetch a student name by ID (and INDEX/MATCH for a sales amount).</t>
        </is>
      </c>
      <c r="B15" s="2" t="inlineStr">
        <is>
          <t>Completed in 'Assignments Dashboard'</t>
        </is>
      </c>
    </row>
    <row r="16">
      <c r="A16" s="4" t="inlineStr">
        <is>
          <t>4. Apply XLOOKUP to fetch employee salaries dynamically.</t>
        </is>
      </c>
      <c r="B16" s="2" t="inlineStr">
        <is>
          <t>Completed in 'Assignments Dashboard'</t>
        </is>
      </c>
    </row>
    <row r="17">
      <c r="A17" s="4" t="inlineStr">
        <is>
          <t>5. Format and analyze date of joining in Employee data (real dates, tenure in days).</t>
        </is>
      </c>
      <c r="B17" s="2" t="inlineStr">
        <is>
          <t>Completed in 'Employee Data' col F, G &amp; H</t>
        </is>
      </c>
    </row>
    <row r="18">
      <c r="A18" s="4" t="inlineStr">
        <is>
          <t>6. Use FILTER function to list students with Average Score &gt;= 80.</t>
        </is>
      </c>
      <c r="B18" s="2" t="inlineStr">
        <is>
          <t>Completed in 'Assignments Dashboard'</t>
        </is>
      </c>
    </row>
    <row r="19">
      <c r="A19" s="3" t="inlineStr"/>
      <c r="B19" s="2" t="inlineStr"/>
    </row>
    <row r="20">
      <c r="A20" s="4" t="inlineStr">
        <is>
          <t>NOTE: The dashboard sheet contains all the isolated formula assignments. 'Sales Data' col G-I hold the IF/OR discount formulas.</t>
        </is>
      </c>
      <c r="B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9" customWidth="1" min="4" max="4"/>
    <col width="9" customWidth="1" min="5" max="5"/>
    <col width="21" customWidth="1" min="6" max="6"/>
    <col width="15" customWidth="1" min="7" max="7"/>
    <col width="19" customWidth="1" min="8" max="8"/>
    <col width="60" customWidth="1" min="9" max="9"/>
    <col width="41" customWidth="1" min="10" max="10"/>
  </cols>
  <sheetData>
    <row r="1">
      <c r="A1" s="5" t="inlineStr">
        <is>
          <t>Student ID</t>
        </is>
      </c>
      <c r="B1" s="5" t="inlineStr">
        <is>
          <t>Name</t>
        </is>
      </c>
      <c r="C1" s="5" t="inlineStr">
        <is>
          <t>Math</t>
        </is>
      </c>
      <c r="D1" s="5" t="inlineStr">
        <is>
          <t>Science</t>
        </is>
      </c>
      <c r="E1" s="5" t="inlineStr">
        <is>
          <t>English</t>
        </is>
      </c>
      <c r="F1" s="5" t="inlineStr">
        <is>
          <t>Enrollment Date</t>
        </is>
      </c>
      <c r="G1" s="5" t="inlineStr">
        <is>
          <t>Total Score</t>
        </is>
      </c>
      <c r="H1" s="5" t="inlineStr">
        <is>
          <t>Average Score</t>
        </is>
      </c>
      <c r="I1" s="5" t="inlineStr">
        <is>
          <t>Grade (IF)</t>
        </is>
      </c>
      <c r="J1" s="5" t="inlineStr">
        <is>
          <t>Math&amp;Sci &gt; 80 (IF/AND)</t>
        </is>
      </c>
    </row>
    <row r="2">
      <c r="A2" t="n">
        <v>1001</v>
      </c>
      <c r="B2" t="inlineStr">
        <is>
          <t>Student 1</t>
        </is>
      </c>
      <c r="C2" t="n">
        <v>61</v>
      </c>
      <c r="D2" t="n">
        <v>48</v>
      </c>
      <c r="E2" t="n">
        <v>76</v>
      </c>
      <c r="F2" s="13" t="n">
        <v>43101</v>
      </c>
      <c r="G2">
        <f>SUM(C2:E2)</f>
        <v/>
      </c>
      <c r="H2" s="6">
        <f>AVERAGE(C2:E2)</f>
        <v/>
      </c>
      <c r="I2">
        <f>IF(H2&gt;=80, "A", IF(H2&gt;=60, "B", IF(H2&gt;=40, "C", "F")))</f>
        <v/>
      </c>
      <c r="J2">
        <f>IF(AND(C2&gt;=80, D2&gt;=80), "Yes", "No")</f>
        <v/>
      </c>
    </row>
    <row r="3">
      <c r="A3" t="n">
        <v>1002</v>
      </c>
      <c r="B3" t="inlineStr">
        <is>
          <t>Student 2</t>
        </is>
      </c>
      <c r="C3" t="n">
        <v>78</v>
      </c>
      <c r="D3" t="n">
        <v>76</v>
      </c>
      <c r="E3" t="n">
        <v>70</v>
      </c>
      <c r="F3" s="13" t="n">
        <v>43281</v>
      </c>
      <c r="G3">
        <f>SUM(C3:E3)</f>
        <v/>
      </c>
      <c r="H3" s="6">
        <f>AVERAGE(C3:E3)</f>
        <v/>
      </c>
      <c r="I3">
        <f>IF(H3&gt;=80, "A", IF(H3&gt;=60, "B", IF(H3&gt;=40, "C", "F")))</f>
        <v/>
      </c>
      <c r="J3">
        <f>IF(AND(C3&gt;=80, D3&gt;=80), "Yes", "No")</f>
        <v/>
      </c>
    </row>
    <row r="4">
      <c r="A4" t="n">
        <v>1003</v>
      </c>
      <c r="B4" t="inlineStr">
        <is>
          <t>Student 3</t>
        </is>
      </c>
      <c r="C4" t="n">
        <v>97</v>
      </c>
      <c r="D4" t="n">
        <v>60</v>
      </c>
      <c r="E4" t="n">
        <v>51</v>
      </c>
      <c r="F4" s="13" t="n">
        <v>43461</v>
      </c>
      <c r="G4">
        <f>SUM(C4:E4)</f>
        <v/>
      </c>
      <c r="H4" s="6">
        <f>AVERAGE(C4:E4)</f>
        <v/>
      </c>
      <c r="I4">
        <f>IF(H4&gt;=80, "A", IF(H4&gt;=60, "B", IF(H4&gt;=40, "C", "F")))</f>
        <v/>
      </c>
      <c r="J4">
        <f>IF(AND(C4&gt;=80, D4&gt;=80), "Yes", "No")</f>
        <v/>
      </c>
    </row>
    <row r="5">
      <c r="A5" t="n">
        <v>1004</v>
      </c>
      <c r="B5" t="inlineStr">
        <is>
          <t>Student 4</t>
        </is>
      </c>
      <c r="C5" t="n">
        <v>74</v>
      </c>
      <c r="D5" t="n">
        <v>55</v>
      </c>
      <c r="E5" t="n">
        <v>46</v>
      </c>
      <c r="F5" s="13" t="n">
        <v>43641</v>
      </c>
      <c r="G5">
        <f>SUM(C5:E5)</f>
        <v/>
      </c>
      <c r="H5" s="6">
        <f>AVERAGE(C5:E5)</f>
        <v/>
      </c>
      <c r="I5">
        <f>IF(H5&gt;=80, "A", IF(H5&gt;=60, "B", IF(H5&gt;=40, "C", "F")))</f>
        <v/>
      </c>
      <c r="J5">
        <f>IF(AND(C5&gt;=80, D5&gt;=80), "Yes", "No")</f>
        <v/>
      </c>
    </row>
    <row r="6">
      <c r="A6" t="n">
        <v>1005</v>
      </c>
      <c r="B6" t="inlineStr">
        <is>
          <t>Student 5</t>
        </is>
      </c>
      <c r="C6" t="n">
        <v>68</v>
      </c>
      <c r="D6" t="n">
        <v>74</v>
      </c>
      <c r="E6" t="n">
        <v>84</v>
      </c>
      <c r="F6" s="13" t="n">
        <v>43821</v>
      </c>
      <c r="G6">
        <f>SUM(C6:E6)</f>
        <v/>
      </c>
      <c r="H6" s="6">
        <f>AVERAGE(C6:E6)</f>
        <v/>
      </c>
      <c r="I6">
        <f>IF(H6&gt;=80, "A", IF(H6&gt;=60, "B", IF(H6&gt;=40, "C", "F")))</f>
        <v/>
      </c>
      <c r="J6">
        <f>IF(AND(C6&gt;=80, D6&gt;=80), "Yes", "No")</f>
        <v/>
      </c>
    </row>
    <row r="7">
      <c r="A7" t="n">
        <v>1006</v>
      </c>
      <c r="B7" t="inlineStr">
        <is>
          <t>Student 6</t>
        </is>
      </c>
      <c r="C7" t="n">
        <v>80</v>
      </c>
      <c r="D7" t="n">
        <v>70</v>
      </c>
      <c r="E7" t="n">
        <v>65</v>
      </c>
      <c r="F7" s="13" t="n">
        <v>44001</v>
      </c>
      <c r="G7">
        <f>SUM(C7:E7)</f>
        <v/>
      </c>
      <c r="H7" s="6">
        <f>AVERAGE(C7:E7)</f>
        <v/>
      </c>
      <c r="I7">
        <f>IF(H7&gt;=80, "A", IF(H7&gt;=60, "B", IF(H7&gt;=40, "C", "F")))</f>
        <v/>
      </c>
      <c r="J7">
        <f>IF(AND(C7&gt;=80, D7&gt;=80), "Yes", "No")</f>
        <v/>
      </c>
    </row>
    <row r="8">
      <c r="A8" t="n">
        <v>1007</v>
      </c>
      <c r="B8" t="inlineStr">
        <is>
          <t>Student 7</t>
        </is>
      </c>
      <c r="C8" t="n">
        <v>75</v>
      </c>
      <c r="D8" t="n">
        <v>47</v>
      </c>
      <c r="E8" t="n">
        <v>78</v>
      </c>
      <c r="F8" s="13" t="n">
        <v>44181</v>
      </c>
      <c r="G8">
        <f>SUM(C8:E8)</f>
        <v/>
      </c>
      <c r="H8" s="6">
        <f>AVERAGE(C8:E8)</f>
        <v/>
      </c>
      <c r="I8">
        <f>IF(H8&gt;=80, "A", IF(H8&gt;=60, "B", IF(H8&gt;=40, "C", "F")))</f>
        <v/>
      </c>
      <c r="J8">
        <f>IF(AND(C8&gt;=80, D8&gt;=80), "Yes", "No")</f>
        <v/>
      </c>
    </row>
    <row r="9">
      <c r="A9" t="n">
        <v>1008</v>
      </c>
      <c r="B9" t="inlineStr">
        <is>
          <t>Student 8</t>
        </is>
      </c>
      <c r="C9" t="n">
        <v>94</v>
      </c>
      <c r="D9" t="n">
        <v>67</v>
      </c>
      <c r="E9" t="n">
        <v>64</v>
      </c>
      <c r="F9" s="13" t="n">
        <v>44361</v>
      </c>
      <c r="G9">
        <f>SUM(C9:E9)</f>
        <v/>
      </c>
      <c r="H9" s="6">
        <f>AVERAGE(C9:E9)</f>
        <v/>
      </c>
      <c r="I9">
        <f>IF(H9&gt;=80, "A", IF(H9&gt;=60, "B", IF(H9&gt;=40, "C", "F")))</f>
        <v/>
      </c>
      <c r="J9">
        <f>IF(AND(C9&gt;=80, D9&gt;=80), "Yes", "No")</f>
        <v/>
      </c>
    </row>
    <row r="10">
      <c r="A10" t="n">
        <v>1009</v>
      </c>
      <c r="B10" t="inlineStr">
        <is>
          <t>Student 9</t>
        </is>
      </c>
      <c r="C10" t="n">
        <v>41</v>
      </c>
      <c r="D10" t="n">
        <v>75</v>
      </c>
      <c r="E10" t="n">
        <v>56</v>
      </c>
      <c r="F10" s="13" t="n">
        <v>44541</v>
      </c>
      <c r="G10">
        <f>SUM(C10:E10)</f>
        <v/>
      </c>
      <c r="H10" s="6">
        <f>AVERAGE(C10:E10)</f>
        <v/>
      </c>
      <c r="I10">
        <f>IF(H10&gt;=80, "A", IF(H10&gt;=60, "B", IF(H10&gt;=40, "C", "F")))</f>
        <v/>
      </c>
      <c r="J10">
        <f>IF(AND(C10&gt;=80, D10&gt;=80), "Yes", "No")</f>
        <v/>
      </c>
    </row>
    <row r="11">
      <c r="A11" t="n">
        <v>1010</v>
      </c>
      <c r="B11" t="inlineStr">
        <is>
          <t>Student 10</t>
        </is>
      </c>
      <c r="C11" t="n">
        <v>98</v>
      </c>
      <c r="D11" t="n">
        <v>54</v>
      </c>
      <c r="E11" t="n">
        <v>58</v>
      </c>
      <c r="F11" s="13" t="n">
        <v>44721</v>
      </c>
      <c r="G11">
        <f>SUM(C11:E11)</f>
        <v/>
      </c>
      <c r="H11" s="6">
        <f>AVERAGE(C11:E11)</f>
        <v/>
      </c>
      <c r="I11">
        <f>IF(H11&gt;=80, "A", IF(H11&gt;=60, "B", IF(H11&gt;=40, "C", "F")))</f>
        <v/>
      </c>
      <c r="J11">
        <f>IF(AND(C11&gt;=80, D11&gt;=80), "Yes", "No")</f>
        <v/>
      </c>
    </row>
    <row r="12">
      <c r="A12" t="n">
        <v>1011</v>
      </c>
      <c r="B12" t="inlineStr">
        <is>
          <t>Student 11</t>
        </is>
      </c>
      <c r="C12" t="n">
        <v>73</v>
      </c>
      <c r="D12" t="n">
        <v>79</v>
      </c>
      <c r="E12" t="n">
        <v>53</v>
      </c>
      <c r="F12" s="13" t="n">
        <v>44901</v>
      </c>
      <c r="G12">
        <f>SUM(C12:E12)</f>
        <v/>
      </c>
      <c r="H12" s="6">
        <f>AVERAGE(C12:E12)</f>
        <v/>
      </c>
      <c r="I12">
        <f>IF(H12&gt;=80, "A", IF(H12&gt;=60, "B", IF(H12&gt;=40, "C", "F")))</f>
        <v/>
      </c>
      <c r="J12">
        <f>IF(AND(C12&gt;=80, D12&gt;=80), "Yes", "No")</f>
        <v/>
      </c>
    </row>
    <row r="13">
      <c r="A13" t="n">
        <v>1012</v>
      </c>
      <c r="B13" t="inlineStr">
        <is>
          <t>Student 12</t>
        </is>
      </c>
      <c r="C13" t="n">
        <v>85</v>
      </c>
      <c r="D13" t="n">
        <v>89</v>
      </c>
      <c r="E13" t="n">
        <v>79</v>
      </c>
      <c r="F13" s="13" t="n">
        <v>45081</v>
      </c>
      <c r="G13">
        <f>SUM(C13:E13)</f>
        <v/>
      </c>
      <c r="H13" s="6">
        <f>AVERAGE(C13:E13)</f>
        <v/>
      </c>
      <c r="I13">
        <f>IF(H13&gt;=80, "A", IF(H13&gt;=60, "B", IF(H13&gt;=40, "C", "F")))</f>
        <v/>
      </c>
      <c r="J13">
        <f>IF(AND(C13&gt;=80, D13&gt;=80), "Yes", "No")</f>
        <v/>
      </c>
    </row>
    <row r="14">
      <c r="A14" t="n">
        <v>1013</v>
      </c>
      <c r="B14" t="inlineStr">
        <is>
          <t>Student 13</t>
        </is>
      </c>
      <c r="C14" t="n">
        <v>98</v>
      </c>
      <c r="D14" t="n">
        <v>90</v>
      </c>
      <c r="E14" t="n">
        <v>97</v>
      </c>
      <c r="F14" s="13" t="n">
        <v>45261</v>
      </c>
      <c r="G14">
        <f>SUM(C14:E14)</f>
        <v/>
      </c>
      <c r="H14" s="6">
        <f>AVERAGE(C14:E14)</f>
        <v/>
      </c>
      <c r="I14">
        <f>IF(H14&gt;=80, "A", IF(H14&gt;=60, "B", IF(H14&gt;=40, "C", "F")))</f>
        <v/>
      </c>
      <c r="J14">
        <f>IF(AND(C14&gt;=80, D14&gt;=80), "Yes", "No")</f>
        <v/>
      </c>
    </row>
    <row r="15">
      <c r="A15" t="n">
        <v>1014</v>
      </c>
      <c r="B15" t="inlineStr">
        <is>
          <t>Student 14</t>
        </is>
      </c>
      <c r="C15" t="n">
        <v>93</v>
      </c>
      <c r="D15" t="n">
        <v>40</v>
      </c>
      <c r="E15" t="n">
        <v>44</v>
      </c>
      <c r="F15" s="13" t="n">
        <v>45441</v>
      </c>
      <c r="G15">
        <f>SUM(C15:E15)</f>
        <v/>
      </c>
      <c r="H15" s="6">
        <f>AVERAGE(C15:E15)</f>
        <v/>
      </c>
      <c r="I15">
        <f>IF(H15&gt;=80, "A", IF(H15&gt;=60, "B", IF(H15&gt;=40, "C", "F")))</f>
        <v/>
      </c>
      <c r="J15">
        <f>IF(AND(C15&gt;=80, D15&gt;=80), "Yes", "No")</f>
        <v/>
      </c>
    </row>
    <row r="16">
      <c r="A16" t="n">
        <v>1015</v>
      </c>
      <c r="B16" t="inlineStr">
        <is>
          <t>Student 15</t>
        </is>
      </c>
      <c r="C16" t="n">
        <v>70</v>
      </c>
      <c r="D16" t="n">
        <v>51</v>
      </c>
      <c r="E16" t="n">
        <v>75</v>
      </c>
      <c r="F16" s="13" t="n">
        <v>45621</v>
      </c>
      <c r="G16">
        <f>SUM(C16:E16)</f>
        <v/>
      </c>
      <c r="H16" s="6">
        <f>AVERAGE(C16:E16)</f>
        <v/>
      </c>
      <c r="I16">
        <f>IF(H16&gt;=80, "A", IF(H16&gt;=60, "B", IF(H16&gt;=40, "C", "F")))</f>
        <v/>
      </c>
      <c r="J16">
        <f>IF(AND(C16&gt;=80, D16&gt;=80), "Yes", "No")</f>
        <v/>
      </c>
    </row>
    <row r="17">
      <c r="A17" t="n">
        <v>1016</v>
      </c>
      <c r="B17" t="inlineStr">
        <is>
          <t>Student 16</t>
        </is>
      </c>
      <c r="C17" t="n">
        <v>98</v>
      </c>
      <c r="D17" t="n">
        <v>77</v>
      </c>
      <c r="E17" t="n">
        <v>60</v>
      </c>
      <c r="F17" s="13" t="n">
        <v>45801</v>
      </c>
      <c r="G17">
        <f>SUM(C17:E17)</f>
        <v/>
      </c>
      <c r="H17" s="6">
        <f>AVERAGE(C17:E17)</f>
        <v/>
      </c>
      <c r="I17">
        <f>IF(H17&gt;=80, "A", IF(H17&gt;=60, "B", IF(H17&gt;=40, "C", "F")))</f>
        <v/>
      </c>
      <c r="J17">
        <f>IF(AND(C17&gt;=80, D17&gt;=80), "Yes", "No")</f>
        <v/>
      </c>
    </row>
    <row r="18">
      <c r="A18" t="n">
        <v>1017</v>
      </c>
      <c r="B18" t="inlineStr">
        <is>
          <t>Student 17</t>
        </is>
      </c>
      <c r="C18" t="n">
        <v>66</v>
      </c>
      <c r="D18" t="n">
        <v>59</v>
      </c>
      <c r="E18" t="n">
        <v>40</v>
      </c>
      <c r="F18" s="13" t="n">
        <v>45981</v>
      </c>
      <c r="G18">
        <f>SUM(C18:E18)</f>
        <v/>
      </c>
      <c r="H18" s="6">
        <f>AVERAGE(C18:E18)</f>
        <v/>
      </c>
      <c r="I18">
        <f>IF(H18&gt;=80, "A", IF(H18&gt;=60, "B", IF(H18&gt;=40, "C", "F")))</f>
        <v/>
      </c>
      <c r="J18">
        <f>IF(AND(C18&gt;=80, D18&gt;=80), "Yes", "No")</f>
        <v/>
      </c>
    </row>
    <row r="19">
      <c r="A19" t="n">
        <v>1018</v>
      </c>
      <c r="B19" t="inlineStr">
        <is>
          <t>Student 18</t>
        </is>
      </c>
      <c r="C19" t="n">
        <v>82</v>
      </c>
      <c r="D19" t="n">
        <v>48</v>
      </c>
      <c r="E19" t="n">
        <v>79</v>
      </c>
      <c r="F19" s="13" t="n">
        <v>46161</v>
      </c>
      <c r="G19">
        <f>SUM(C19:E19)</f>
        <v/>
      </c>
      <c r="H19" s="6">
        <f>AVERAGE(C19:E19)</f>
        <v/>
      </c>
      <c r="I19">
        <f>IF(H19&gt;=80, "A", IF(H19&gt;=60, "B", IF(H19&gt;=40, "C", "F")))</f>
        <v/>
      </c>
      <c r="J19">
        <f>IF(AND(C19&gt;=80, D19&gt;=80), "Yes", "No")</f>
        <v/>
      </c>
    </row>
    <row r="20">
      <c r="A20" t="n">
        <v>1019</v>
      </c>
      <c r="B20" t="inlineStr">
        <is>
          <t>Student 19</t>
        </is>
      </c>
      <c r="C20" t="n">
        <v>90</v>
      </c>
      <c r="D20" t="n">
        <v>78</v>
      </c>
      <c r="E20" t="n">
        <v>60</v>
      </c>
      <c r="F20" s="13" t="n">
        <v>46341</v>
      </c>
      <c r="G20">
        <f>SUM(C20:E20)</f>
        <v/>
      </c>
      <c r="H20" s="6">
        <f>AVERAGE(C20:E20)</f>
        <v/>
      </c>
      <c r="I20">
        <f>IF(H20&gt;=80, "A", IF(H20&gt;=60, "B", IF(H20&gt;=40, "C", "F")))</f>
        <v/>
      </c>
      <c r="J20">
        <f>IF(AND(C20&gt;=80, D20&gt;=80), "Yes", "No")</f>
        <v/>
      </c>
    </row>
    <row r="21">
      <c r="A21" t="n">
        <v>1020</v>
      </c>
      <c r="B21" t="inlineStr">
        <is>
          <t>Student 20</t>
        </is>
      </c>
      <c r="C21" t="n">
        <v>83</v>
      </c>
      <c r="D21" t="n">
        <v>92</v>
      </c>
      <c r="E21" t="n">
        <v>55</v>
      </c>
      <c r="F21" s="13" t="n">
        <v>46521</v>
      </c>
      <c r="G21">
        <f>SUM(C21:E21)</f>
        <v/>
      </c>
      <c r="H21" s="6">
        <f>AVERAGE(C21:E21)</f>
        <v/>
      </c>
      <c r="I21">
        <f>IF(H21&gt;=80, "A", IF(H21&gt;=60, "B", IF(H21&gt;=40, "C", "F")))</f>
        <v/>
      </c>
      <c r="J21">
        <f>IF(AND(C21&gt;=80, D21&gt;=80), "Yes", "No")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3" customWidth="1" min="4" max="4"/>
    <col width="18" customWidth="1" min="5" max="5"/>
    <col width="21" customWidth="1" min="6" max="6"/>
    <col width="47" customWidth="1" min="7" max="7"/>
    <col width="18" customWidth="1" min="8" max="8"/>
    <col width="18" customWidth="1" min="9" max="9"/>
  </cols>
  <sheetData>
    <row r="1">
      <c r="A1" s="5" t="inlineStr">
        <is>
          <t>Sales ID</t>
        </is>
      </c>
      <c r="B1" s="5" t="inlineStr">
        <is>
          <t>Product</t>
        </is>
      </c>
      <c r="C1" s="5" t="inlineStr">
        <is>
          <t>Region</t>
        </is>
      </c>
      <c r="D1" s="5" t="inlineStr">
        <is>
          <t>Salesperson</t>
        </is>
      </c>
      <c r="E1" s="5" t="inlineStr">
        <is>
          <t>Amount</t>
        </is>
      </c>
      <c r="F1" s="5" t="inlineStr">
        <is>
          <t>Date</t>
        </is>
      </c>
      <c r="G1" s="5" t="inlineStr">
        <is>
          <t>Discount Eligible (IF/OR)</t>
        </is>
      </c>
      <c r="H1" s="5" t="inlineStr">
        <is>
          <t>Discount Amt (Math)</t>
        </is>
      </c>
      <c r="I1" s="5" t="inlineStr">
        <is>
          <t>Final Amount</t>
        </is>
      </c>
    </row>
    <row r="2">
      <c r="A2" t="n">
        <v>2001</v>
      </c>
      <c r="B2" t="inlineStr">
        <is>
          <t>Keyboard</t>
        </is>
      </c>
      <c r="C2" t="inlineStr">
        <is>
          <t>South</t>
        </is>
      </c>
      <c r="D2" t="inlineStr">
        <is>
          <t>Person 1</t>
        </is>
      </c>
      <c r="E2" s="14" t="n">
        <v>7048</v>
      </c>
      <c r="F2" s="13" t="n">
        <v>44927</v>
      </c>
      <c r="G2">
        <f>IF(OR(B2="Laptop", E2&gt;25000), "Yes", "No")</f>
        <v/>
      </c>
      <c r="H2" s="14">
        <f>IF(G2="Yes", E2*0.1, 0)</f>
        <v/>
      </c>
      <c r="I2" s="14">
        <f>E2-H2</f>
        <v/>
      </c>
    </row>
    <row r="3">
      <c r="A3" t="n">
        <v>2002</v>
      </c>
      <c r="B3" t="inlineStr">
        <is>
          <t>Printer</t>
        </is>
      </c>
      <c r="C3" t="inlineStr">
        <is>
          <t>West</t>
        </is>
      </c>
      <c r="D3" t="inlineStr">
        <is>
          <t>Person 2</t>
        </is>
      </c>
      <c r="E3" s="14" t="n">
        <v>17428</v>
      </c>
      <c r="F3" s="13" t="n">
        <v>44942</v>
      </c>
      <c r="G3">
        <f>IF(OR(B3="Laptop", E3&gt;25000), "Yes", "No")</f>
        <v/>
      </c>
      <c r="H3" s="14">
        <f>IF(G3="Yes", E3*0.1, 0)</f>
        <v/>
      </c>
      <c r="I3" s="14">
        <f>E3-H3</f>
        <v/>
      </c>
    </row>
    <row r="4">
      <c r="A4" t="n">
        <v>2003</v>
      </c>
      <c r="B4" t="inlineStr">
        <is>
          <t>Mouse</t>
        </is>
      </c>
      <c r="C4" t="inlineStr">
        <is>
          <t>South</t>
        </is>
      </c>
      <c r="D4" t="inlineStr">
        <is>
          <t>Person 3</t>
        </is>
      </c>
      <c r="E4" s="14" t="n">
        <v>23672</v>
      </c>
      <c r="F4" s="13" t="n">
        <v>44957</v>
      </c>
      <c r="G4">
        <f>IF(OR(B4="Laptop", E4&gt;25000), "Yes", "No")</f>
        <v/>
      </c>
      <c r="H4" s="14">
        <f>IF(G4="Yes", E4*0.1, 0)</f>
        <v/>
      </c>
      <c r="I4" s="14">
        <f>E4-H4</f>
        <v/>
      </c>
    </row>
    <row r="5">
      <c r="A5" t="n">
        <v>2004</v>
      </c>
      <c r="B5" t="inlineStr">
        <is>
          <t>Printer</t>
        </is>
      </c>
      <c r="C5" t="inlineStr">
        <is>
          <t>East</t>
        </is>
      </c>
      <c r="D5" t="inlineStr">
        <is>
          <t>Person 4</t>
        </is>
      </c>
      <c r="E5" s="14" t="n">
        <v>5264</v>
      </c>
      <c r="F5" s="13" t="n">
        <v>44972</v>
      </c>
      <c r="G5">
        <f>IF(OR(B5="Laptop", E5&gt;25000), "Yes", "No")</f>
        <v/>
      </c>
      <c r="H5" s="14">
        <f>IF(G5="Yes", E5*0.1, 0)</f>
        <v/>
      </c>
      <c r="I5" s="14">
        <f>E5-H5</f>
        <v/>
      </c>
    </row>
    <row r="6">
      <c r="A6" t="n">
        <v>2005</v>
      </c>
      <c r="B6" t="inlineStr">
        <is>
          <t>Keyboard</t>
        </is>
      </c>
      <c r="C6" t="inlineStr">
        <is>
          <t>North</t>
        </is>
      </c>
      <c r="D6" t="inlineStr">
        <is>
          <t>Person 5</t>
        </is>
      </c>
      <c r="E6" s="14" t="n">
        <v>43388</v>
      </c>
      <c r="F6" s="13" t="n">
        <v>44987</v>
      </c>
      <c r="G6">
        <f>IF(OR(B6="Laptop", E6&gt;25000), "Yes", "No")</f>
        <v/>
      </c>
      <c r="H6" s="14">
        <f>IF(G6="Yes", E6*0.1, 0)</f>
        <v/>
      </c>
      <c r="I6" s="14">
        <f>E6-H6</f>
        <v/>
      </c>
    </row>
    <row r="7">
      <c r="A7" t="n">
        <v>2006</v>
      </c>
      <c r="B7" t="inlineStr">
        <is>
          <t>Mouse</t>
        </is>
      </c>
      <c r="C7" t="inlineStr">
        <is>
          <t>North</t>
        </is>
      </c>
      <c r="D7" t="inlineStr">
        <is>
          <t>Person 6</t>
        </is>
      </c>
      <c r="E7" s="14" t="n">
        <v>19757</v>
      </c>
      <c r="F7" s="13" t="n">
        <v>45002</v>
      </c>
      <c r="G7">
        <f>IF(OR(B7="Laptop", E7&gt;25000), "Yes", "No")</f>
        <v/>
      </c>
      <c r="H7" s="14">
        <f>IF(G7="Yes", E7*0.1, 0)</f>
        <v/>
      </c>
      <c r="I7" s="14">
        <f>E7-H7</f>
        <v/>
      </c>
    </row>
    <row r="8">
      <c r="A8" t="n">
        <v>2007</v>
      </c>
      <c r="B8" t="inlineStr">
        <is>
          <t>Mouse</t>
        </is>
      </c>
      <c r="C8" t="inlineStr">
        <is>
          <t>East</t>
        </is>
      </c>
      <c r="D8" t="inlineStr">
        <is>
          <t>Person 7</t>
        </is>
      </c>
      <c r="E8" s="14" t="n">
        <v>32058</v>
      </c>
      <c r="F8" s="13" t="n">
        <v>45017</v>
      </c>
      <c r="G8">
        <f>IF(OR(B8="Laptop", E8&gt;25000), "Yes", "No")</f>
        <v/>
      </c>
      <c r="H8" s="14">
        <f>IF(G8="Yes", E8*0.1, 0)</f>
        <v/>
      </c>
      <c r="I8" s="14">
        <f>E8-H8</f>
        <v/>
      </c>
    </row>
    <row r="9">
      <c r="A9" t="n">
        <v>2008</v>
      </c>
      <c r="B9" t="inlineStr">
        <is>
          <t>Keyboard</t>
        </is>
      </c>
      <c r="C9" t="inlineStr">
        <is>
          <t>East</t>
        </is>
      </c>
      <c r="D9" t="inlineStr">
        <is>
          <t>Person 8</t>
        </is>
      </c>
      <c r="E9" s="14" t="n">
        <v>46429</v>
      </c>
      <c r="F9" s="13" t="n">
        <v>45032</v>
      </c>
      <c r="G9">
        <f>IF(OR(B9="Laptop", E9&gt;25000), "Yes", "No")</f>
        <v/>
      </c>
      <c r="H9" s="14">
        <f>IF(G9="Yes", E9*0.1, 0)</f>
        <v/>
      </c>
      <c r="I9" s="14">
        <f>E9-H9</f>
        <v/>
      </c>
    </row>
    <row r="10">
      <c r="A10" t="n">
        <v>2009</v>
      </c>
      <c r="B10" t="inlineStr">
        <is>
          <t>Printer</t>
        </is>
      </c>
      <c r="C10" t="inlineStr">
        <is>
          <t>East</t>
        </is>
      </c>
      <c r="D10" t="inlineStr">
        <is>
          <t>Person 9</t>
        </is>
      </c>
      <c r="E10" s="14" t="n">
        <v>19746</v>
      </c>
      <c r="F10" s="13" t="n">
        <v>45047</v>
      </c>
      <c r="G10">
        <f>IF(OR(B10="Laptop", E10&gt;25000), "Yes", "No")</f>
        <v/>
      </c>
      <c r="H10" s="14">
        <f>IF(G10="Yes", E10*0.1, 0)</f>
        <v/>
      </c>
      <c r="I10" s="14">
        <f>E10-H10</f>
        <v/>
      </c>
    </row>
    <row r="11">
      <c r="A11" t="n">
        <v>2010</v>
      </c>
      <c r="B11" t="inlineStr">
        <is>
          <t>Keyboard</t>
        </is>
      </c>
      <c r="C11" t="inlineStr">
        <is>
          <t>South</t>
        </is>
      </c>
      <c r="D11" t="inlineStr">
        <is>
          <t>Person 10</t>
        </is>
      </c>
      <c r="E11" s="14" t="n">
        <v>35185</v>
      </c>
      <c r="F11" s="13" t="n">
        <v>45062</v>
      </c>
      <c r="G11">
        <f>IF(OR(B11="Laptop", E11&gt;25000), "Yes", "No")</f>
        <v/>
      </c>
      <c r="H11" s="14">
        <f>IF(G11="Yes", E11*0.1, 0)</f>
        <v/>
      </c>
      <c r="I11" s="14">
        <f>E11-H11</f>
        <v/>
      </c>
    </row>
    <row r="12">
      <c r="A12" t="n">
        <v>2011</v>
      </c>
      <c r="B12" t="inlineStr">
        <is>
          <t>Keyboard</t>
        </is>
      </c>
      <c r="C12" t="inlineStr">
        <is>
          <t>East</t>
        </is>
      </c>
      <c r="D12" t="inlineStr">
        <is>
          <t>Person 11</t>
        </is>
      </c>
      <c r="E12" s="14" t="n">
        <v>33920</v>
      </c>
      <c r="F12" s="13" t="n">
        <v>45077</v>
      </c>
      <c r="G12">
        <f>IF(OR(B12="Laptop", E12&gt;25000), "Yes", "No")</f>
        <v/>
      </c>
      <c r="H12" s="14">
        <f>IF(G12="Yes", E12*0.1, 0)</f>
        <v/>
      </c>
      <c r="I12" s="14">
        <f>E12-H12</f>
        <v/>
      </c>
    </row>
    <row r="13">
      <c r="A13" t="n">
        <v>2012</v>
      </c>
      <c r="B13" t="inlineStr">
        <is>
          <t>Monitor</t>
        </is>
      </c>
      <c r="C13" t="inlineStr">
        <is>
          <t>North</t>
        </is>
      </c>
      <c r="D13" t="inlineStr">
        <is>
          <t>Person 12</t>
        </is>
      </c>
      <c r="E13" s="14" t="n">
        <v>5611</v>
      </c>
      <c r="F13" s="13" t="n">
        <v>45092</v>
      </c>
      <c r="G13">
        <f>IF(OR(B13="Laptop", E13&gt;25000), "Yes", "No")</f>
        <v/>
      </c>
      <c r="H13" s="14">
        <f>IF(G13="Yes", E13*0.1, 0)</f>
        <v/>
      </c>
      <c r="I13" s="14">
        <f>E13-H13</f>
        <v/>
      </c>
    </row>
    <row r="14">
      <c r="A14" t="n">
        <v>2013</v>
      </c>
      <c r="B14" t="inlineStr">
        <is>
          <t>Laptop</t>
        </is>
      </c>
      <c r="C14" t="inlineStr">
        <is>
          <t>East</t>
        </is>
      </c>
      <c r="D14" t="inlineStr">
        <is>
          <t>Person 13</t>
        </is>
      </c>
      <c r="E14" s="14" t="n">
        <v>15560</v>
      </c>
      <c r="F14" s="13" t="n">
        <v>45107</v>
      </c>
      <c r="G14">
        <f>IF(OR(B14="Laptop", E14&gt;25000), "Yes", "No")</f>
        <v/>
      </c>
      <c r="H14" s="14">
        <f>IF(G14="Yes", E14*0.1, 0)</f>
        <v/>
      </c>
      <c r="I14" s="14">
        <f>E14-H14</f>
        <v/>
      </c>
    </row>
    <row r="15">
      <c r="A15" t="n">
        <v>2014</v>
      </c>
      <c r="B15" t="inlineStr">
        <is>
          <t>Laptop</t>
        </is>
      </c>
      <c r="C15" t="inlineStr">
        <is>
          <t>South</t>
        </is>
      </c>
      <c r="D15" t="inlineStr">
        <is>
          <t>Person 14</t>
        </is>
      </c>
      <c r="E15" s="14" t="n">
        <v>7283</v>
      </c>
      <c r="F15" s="13" t="n">
        <v>45122</v>
      </c>
      <c r="G15">
        <f>IF(OR(B15="Laptop", E15&gt;25000), "Yes", "No")</f>
        <v/>
      </c>
      <c r="H15" s="14">
        <f>IF(G15="Yes", E15*0.1, 0)</f>
        <v/>
      </c>
      <c r="I15" s="14">
        <f>E15-H15</f>
        <v/>
      </c>
    </row>
    <row r="16">
      <c r="A16" t="n">
        <v>2015</v>
      </c>
      <c r="B16" t="inlineStr">
        <is>
          <t>Laptop</t>
        </is>
      </c>
      <c r="C16" t="inlineStr">
        <is>
          <t>East</t>
        </is>
      </c>
      <c r="D16" t="inlineStr">
        <is>
          <t>Person 15</t>
        </is>
      </c>
      <c r="E16" s="14" t="n">
        <v>15678</v>
      </c>
      <c r="F16" s="13" t="n">
        <v>45137</v>
      </c>
      <c r="G16">
        <f>IF(OR(B16="Laptop", E16&gt;25000), "Yes", "No")</f>
        <v/>
      </c>
      <c r="H16" s="14">
        <f>IF(G16="Yes", E16*0.1, 0)</f>
        <v/>
      </c>
      <c r="I16" s="14">
        <f>E16-H16</f>
        <v/>
      </c>
    </row>
    <row r="17">
      <c r="A17" t="n">
        <v>2016</v>
      </c>
      <c r="B17" t="inlineStr">
        <is>
          <t>Mouse</t>
        </is>
      </c>
      <c r="C17" t="inlineStr">
        <is>
          <t>East</t>
        </is>
      </c>
      <c r="D17" t="inlineStr">
        <is>
          <t>Person 16</t>
        </is>
      </c>
      <c r="E17" s="14" t="n">
        <v>5277</v>
      </c>
      <c r="F17" s="13" t="n">
        <v>45152</v>
      </c>
      <c r="G17">
        <f>IF(OR(B17="Laptop", E17&gt;25000), "Yes", "No")</f>
        <v/>
      </c>
      <c r="H17" s="14">
        <f>IF(G17="Yes", E17*0.1, 0)</f>
        <v/>
      </c>
      <c r="I17" s="14">
        <f>E17-H17</f>
        <v/>
      </c>
    </row>
    <row r="18">
      <c r="A18" t="n">
        <v>2017</v>
      </c>
      <c r="B18" t="inlineStr">
        <is>
          <t>Monitor</t>
        </is>
      </c>
      <c r="C18" t="inlineStr">
        <is>
          <t>North</t>
        </is>
      </c>
      <c r="D18" t="inlineStr">
        <is>
          <t>Person 17</t>
        </is>
      </c>
      <c r="E18" s="14" t="n">
        <v>41871</v>
      </c>
      <c r="F18" s="13" t="n">
        <v>45167</v>
      </c>
      <c r="G18">
        <f>IF(OR(B18="Laptop", E18&gt;25000), "Yes", "No")</f>
        <v/>
      </c>
      <c r="H18" s="14">
        <f>IF(G18="Yes", E18*0.1, 0)</f>
        <v/>
      </c>
      <c r="I18" s="14">
        <f>E18-H18</f>
        <v/>
      </c>
    </row>
    <row r="19">
      <c r="A19" t="n">
        <v>2018</v>
      </c>
      <c r="B19" t="inlineStr">
        <is>
          <t>Monitor</t>
        </is>
      </c>
      <c r="C19" t="inlineStr">
        <is>
          <t>West</t>
        </is>
      </c>
      <c r="D19" t="inlineStr">
        <is>
          <t>Person 18</t>
        </is>
      </c>
      <c r="E19" s="14" t="n">
        <v>38161</v>
      </c>
      <c r="F19" s="13" t="n">
        <v>45182</v>
      </c>
      <c r="G19">
        <f>IF(OR(B19="Laptop", E19&gt;25000), "Yes", "No")</f>
        <v/>
      </c>
      <c r="H19" s="14">
        <f>IF(G19="Yes", E19*0.1, 0)</f>
        <v/>
      </c>
      <c r="I19" s="14">
        <f>E19-H19</f>
        <v/>
      </c>
    </row>
    <row r="20">
      <c r="A20" t="n">
        <v>2019</v>
      </c>
      <c r="B20" t="inlineStr">
        <is>
          <t>Mouse</t>
        </is>
      </c>
      <c r="C20" t="inlineStr">
        <is>
          <t>West</t>
        </is>
      </c>
      <c r="D20" t="inlineStr">
        <is>
          <t>Person 19</t>
        </is>
      </c>
      <c r="E20" s="14" t="n">
        <v>30436</v>
      </c>
      <c r="F20" s="13" t="n">
        <v>45197</v>
      </c>
      <c r="G20">
        <f>IF(OR(B20="Laptop", E20&gt;25000), "Yes", "No")</f>
        <v/>
      </c>
      <c r="H20" s="14">
        <f>IF(G20="Yes", E20*0.1, 0)</f>
        <v/>
      </c>
      <c r="I20" s="14">
        <f>E20-H20</f>
        <v/>
      </c>
    </row>
    <row r="21">
      <c r="A21" t="n">
        <v>2020</v>
      </c>
      <c r="B21" t="inlineStr">
        <is>
          <t>Printer</t>
        </is>
      </c>
      <c r="C21" t="inlineStr">
        <is>
          <t>West</t>
        </is>
      </c>
      <c r="D21" t="inlineStr">
        <is>
          <t>Person 20</t>
        </is>
      </c>
      <c r="E21" s="14" t="n">
        <v>33953</v>
      </c>
      <c r="F21" s="13" t="n">
        <v>45212</v>
      </c>
      <c r="G21">
        <f>IF(OR(B21="Laptop", E21&gt;25000), "Yes", "No")</f>
        <v/>
      </c>
      <c r="H21" s="14">
        <f>IF(G21="Yes", E21*0.1, 0)</f>
        <v/>
      </c>
      <c r="I21" s="14">
        <f>E21-H21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8" customWidth="1" min="4" max="4"/>
    <col width="21" customWidth="1" min="5" max="5"/>
    <col width="44" customWidth="1" min="6" max="6"/>
    <col width="13" customWidth="1" min="7" max="7"/>
    <col width="42" customWidth="1" min="8" max="8"/>
  </cols>
  <sheetData>
    <row r="1">
      <c r="A1" s="5" t="inlineStr">
        <is>
          <t>Employee ID</t>
        </is>
      </c>
      <c r="B1" s="5" t="inlineStr">
        <is>
          <t>Name</t>
        </is>
      </c>
      <c r="C1" s="5" t="inlineStr">
        <is>
          <t>Department</t>
        </is>
      </c>
      <c r="D1" s="5" t="inlineStr">
        <is>
          <t>Salary</t>
        </is>
      </c>
      <c r="E1" s="5" t="inlineStr">
        <is>
          <t>Joining Date</t>
        </is>
      </c>
      <c r="F1" s="5" t="inlineStr">
        <is>
          <t>First Name (TEXT)</t>
        </is>
      </c>
      <c r="G1" s="5" t="inlineStr">
        <is>
          <t>UPPER Name</t>
        </is>
      </c>
      <c r="H1" s="5" t="inlineStr">
        <is>
          <t>Tenure in Days (DATE)</t>
        </is>
      </c>
    </row>
    <row r="2">
      <c r="A2" t="n">
        <v>3001</v>
      </c>
      <c r="B2" t="inlineStr">
        <is>
          <t>Employee 1</t>
        </is>
      </c>
      <c r="C2" t="inlineStr">
        <is>
          <t>Finance</t>
        </is>
      </c>
      <c r="D2" s="14" t="n">
        <v>86766</v>
      </c>
      <c r="E2" s="13" t="n">
        <v>42005</v>
      </c>
      <c r="F2">
        <f>IFERROR(LEFT(B2, FIND(" ", B2)-1), B2)</f>
        <v/>
      </c>
      <c r="G2">
        <f>UPPER(B2)</f>
        <v/>
      </c>
      <c r="H2" s="11">
        <f>TODAY()-E2</f>
        <v/>
      </c>
    </row>
    <row r="3">
      <c r="A3" t="n">
        <v>3002</v>
      </c>
      <c r="B3" t="inlineStr">
        <is>
          <t>Employee 2</t>
        </is>
      </c>
      <c r="C3" t="inlineStr">
        <is>
          <t>Finance</t>
        </is>
      </c>
      <c r="D3" s="14" t="n">
        <v>31943</v>
      </c>
      <c r="E3" s="13" t="n">
        <v>42255</v>
      </c>
      <c r="F3">
        <f>IFERROR(LEFT(B3, FIND(" ", B3)-1), B3)</f>
        <v/>
      </c>
      <c r="G3">
        <f>UPPER(B3)</f>
        <v/>
      </c>
      <c r="H3" s="11">
        <f>TODAY()-E3</f>
        <v/>
      </c>
    </row>
    <row r="4">
      <c r="A4" t="n">
        <v>3003</v>
      </c>
      <c r="B4" t="inlineStr">
        <is>
          <t>Employee 3</t>
        </is>
      </c>
      <c r="C4" t="inlineStr">
        <is>
          <t>HR</t>
        </is>
      </c>
      <c r="D4" s="14" t="n">
        <v>63374</v>
      </c>
      <c r="E4" s="13" t="n">
        <v>42505</v>
      </c>
      <c r="F4">
        <f>IFERROR(LEFT(B4, FIND(" ", B4)-1), B4)</f>
        <v/>
      </c>
      <c r="G4">
        <f>UPPER(B4)</f>
        <v/>
      </c>
      <c r="H4" s="11">
        <f>TODAY()-E4</f>
        <v/>
      </c>
    </row>
    <row r="5">
      <c r="A5" t="n">
        <v>3004</v>
      </c>
      <c r="B5" t="inlineStr">
        <is>
          <t>Employee 4</t>
        </is>
      </c>
      <c r="C5" t="inlineStr">
        <is>
          <t>Finance</t>
        </is>
      </c>
      <c r="D5" s="14" t="n">
        <v>109972</v>
      </c>
      <c r="E5" s="13" t="n">
        <v>42755</v>
      </c>
      <c r="F5">
        <f>IFERROR(LEFT(B5, FIND(" ", B5)-1), B5)</f>
        <v/>
      </c>
      <c r="G5">
        <f>UPPER(B5)</f>
        <v/>
      </c>
      <c r="H5" s="11">
        <f>TODAY()-E5</f>
        <v/>
      </c>
    </row>
    <row r="6">
      <c r="A6" t="n">
        <v>3005</v>
      </c>
      <c r="B6" t="inlineStr">
        <is>
          <t>Employee 5</t>
        </is>
      </c>
      <c r="C6" t="inlineStr">
        <is>
          <t>IT</t>
        </is>
      </c>
      <c r="D6" s="14" t="n">
        <v>54149</v>
      </c>
      <c r="E6" s="13" t="n">
        <v>43005</v>
      </c>
      <c r="F6">
        <f>IFERROR(LEFT(B6, FIND(" ", B6)-1), B6)</f>
        <v/>
      </c>
      <c r="G6">
        <f>UPPER(B6)</f>
        <v/>
      </c>
      <c r="H6" s="11">
        <f>TODAY()-E6</f>
        <v/>
      </c>
    </row>
    <row r="7">
      <c r="A7" t="n">
        <v>3006</v>
      </c>
      <c r="B7" t="inlineStr">
        <is>
          <t>Employee 6</t>
        </is>
      </c>
      <c r="C7" t="inlineStr">
        <is>
          <t>IT</t>
        </is>
      </c>
      <c r="D7" s="14" t="n">
        <v>78689</v>
      </c>
      <c r="E7" s="13" t="n">
        <v>43255</v>
      </c>
      <c r="F7">
        <f>IFERROR(LEFT(B7, FIND(" ", B7)-1), B7)</f>
        <v/>
      </c>
      <c r="G7">
        <f>UPPER(B7)</f>
        <v/>
      </c>
      <c r="H7" s="11">
        <f>TODAY()-E7</f>
        <v/>
      </c>
    </row>
    <row r="8">
      <c r="A8" t="n">
        <v>3007</v>
      </c>
      <c r="B8" t="inlineStr">
        <is>
          <t>Employee 7</t>
        </is>
      </c>
      <c r="C8" t="inlineStr">
        <is>
          <t>Marketing</t>
        </is>
      </c>
      <c r="D8" s="14" t="n">
        <v>35960</v>
      </c>
      <c r="E8" s="13" t="n">
        <v>43505</v>
      </c>
      <c r="F8">
        <f>IFERROR(LEFT(B8, FIND(" ", B8)-1), B8)</f>
        <v/>
      </c>
      <c r="G8">
        <f>UPPER(B8)</f>
        <v/>
      </c>
      <c r="H8" s="11">
        <f>TODAY()-E8</f>
        <v/>
      </c>
    </row>
    <row r="9">
      <c r="A9" t="n">
        <v>3008</v>
      </c>
      <c r="B9" t="inlineStr">
        <is>
          <t>Employee 8</t>
        </is>
      </c>
      <c r="C9" t="inlineStr">
        <is>
          <t>IT</t>
        </is>
      </c>
      <c r="D9" s="14" t="n">
        <v>91659</v>
      </c>
      <c r="E9" s="13" t="n">
        <v>43755</v>
      </c>
      <c r="F9">
        <f>IFERROR(LEFT(B9, FIND(" ", B9)-1), B9)</f>
        <v/>
      </c>
      <c r="G9">
        <f>UPPER(B9)</f>
        <v/>
      </c>
      <c r="H9" s="11">
        <f>TODAY()-E9</f>
        <v/>
      </c>
    </row>
    <row r="10">
      <c r="A10" t="n">
        <v>3009</v>
      </c>
      <c r="B10" t="inlineStr">
        <is>
          <t>Employee 9</t>
        </is>
      </c>
      <c r="C10" t="inlineStr">
        <is>
          <t>IT</t>
        </is>
      </c>
      <c r="D10" s="14" t="n">
        <v>90423</v>
      </c>
      <c r="E10" s="13" t="n">
        <v>44005</v>
      </c>
      <c r="F10">
        <f>IFERROR(LEFT(B10, FIND(" ", B10)-1), B10)</f>
        <v/>
      </c>
      <c r="G10">
        <f>UPPER(B10)</f>
        <v/>
      </c>
      <c r="H10" s="11">
        <f>TODAY()-E10</f>
        <v/>
      </c>
    </row>
    <row r="11">
      <c r="A11" t="n">
        <v>3010</v>
      </c>
      <c r="B11" t="inlineStr">
        <is>
          <t>Employee 10</t>
        </is>
      </c>
      <c r="C11" t="inlineStr">
        <is>
          <t>HR</t>
        </is>
      </c>
      <c r="D11" s="14" t="n">
        <v>107877</v>
      </c>
      <c r="E11" s="13" t="n">
        <v>44255</v>
      </c>
      <c r="F11">
        <f>IFERROR(LEFT(B11, FIND(" ", B11)-1), B11)</f>
        <v/>
      </c>
      <c r="G11">
        <f>UPPER(B11)</f>
        <v/>
      </c>
      <c r="H11" s="11">
        <f>TODAY()-E11</f>
        <v/>
      </c>
    </row>
    <row r="12">
      <c r="A12" t="n">
        <v>3011</v>
      </c>
      <c r="B12" t="inlineStr">
        <is>
          <t>Employee 11</t>
        </is>
      </c>
      <c r="C12" t="inlineStr">
        <is>
          <t>Finance</t>
        </is>
      </c>
      <c r="D12" s="14" t="n">
        <v>107634</v>
      </c>
      <c r="E12" s="13" t="n">
        <v>44505</v>
      </c>
      <c r="F12">
        <f>IFERROR(LEFT(B12, FIND(" ", B12)-1), B12)</f>
        <v/>
      </c>
      <c r="G12">
        <f>UPPER(B12)</f>
        <v/>
      </c>
      <c r="H12" s="11">
        <f>TODAY()-E12</f>
        <v/>
      </c>
    </row>
    <row r="13">
      <c r="A13" t="n">
        <v>3012</v>
      </c>
      <c r="B13" t="inlineStr">
        <is>
          <t>Employee 12</t>
        </is>
      </c>
      <c r="C13" t="inlineStr">
        <is>
          <t>Finance</t>
        </is>
      </c>
      <c r="D13" s="14" t="n">
        <v>35226</v>
      </c>
      <c r="E13" s="13" t="n">
        <v>44755</v>
      </c>
      <c r="F13">
        <f>IFERROR(LEFT(B13, FIND(" ", B13)-1), B13)</f>
        <v/>
      </c>
      <c r="G13">
        <f>UPPER(B13)</f>
        <v/>
      </c>
      <c r="H13" s="11">
        <f>TODAY()-E13</f>
        <v/>
      </c>
    </row>
    <row r="14">
      <c r="A14" t="n">
        <v>3013</v>
      </c>
      <c r="B14" t="inlineStr">
        <is>
          <t>Employee 13</t>
        </is>
      </c>
      <c r="C14" t="inlineStr">
        <is>
          <t>HR</t>
        </is>
      </c>
      <c r="D14" s="14" t="n">
        <v>40872</v>
      </c>
      <c r="E14" s="13" t="n">
        <v>45005</v>
      </c>
      <c r="F14">
        <f>IFERROR(LEFT(B14, FIND(" ", B14)-1), B14)</f>
        <v/>
      </c>
      <c r="G14">
        <f>UPPER(B14)</f>
        <v/>
      </c>
      <c r="H14" s="11">
        <f>TODAY()-E14</f>
        <v/>
      </c>
    </row>
    <row r="15">
      <c r="A15" t="n">
        <v>3014</v>
      </c>
      <c r="B15" t="inlineStr">
        <is>
          <t>Employee 14</t>
        </is>
      </c>
      <c r="C15" t="inlineStr">
        <is>
          <t>HR</t>
        </is>
      </c>
      <c r="D15" s="14" t="n">
        <v>55378</v>
      </c>
      <c r="E15" s="13" t="n">
        <v>45255</v>
      </c>
      <c r="F15">
        <f>IFERROR(LEFT(B15, FIND(" ", B15)-1), B15)</f>
        <v/>
      </c>
      <c r="G15">
        <f>UPPER(B15)</f>
        <v/>
      </c>
      <c r="H15" s="11">
        <f>TODAY()-E15</f>
        <v/>
      </c>
    </row>
    <row r="16">
      <c r="A16" t="n">
        <v>3015</v>
      </c>
      <c r="B16" t="inlineStr">
        <is>
          <t>Employee 15</t>
        </is>
      </c>
      <c r="C16" t="inlineStr">
        <is>
          <t>HR</t>
        </is>
      </c>
      <c r="D16" s="14" t="n">
        <v>63297</v>
      </c>
      <c r="E16" s="13" t="n">
        <v>45505</v>
      </c>
      <c r="F16">
        <f>IFERROR(LEFT(B16, FIND(" ", B16)-1), B16)</f>
        <v/>
      </c>
      <c r="G16">
        <f>UPPER(B16)</f>
        <v/>
      </c>
      <c r="H16" s="11">
        <f>TODAY()-E16</f>
        <v/>
      </c>
    </row>
    <row r="17">
      <c r="A17" t="n">
        <v>3016</v>
      </c>
      <c r="B17" t="inlineStr">
        <is>
          <t>Employee 16</t>
        </is>
      </c>
      <c r="C17" t="inlineStr">
        <is>
          <t>Finance</t>
        </is>
      </c>
      <c r="D17" s="14" t="n">
        <v>114173</v>
      </c>
      <c r="E17" s="13" t="n">
        <v>45755</v>
      </c>
      <c r="F17">
        <f>IFERROR(LEFT(B17, FIND(" ", B17)-1), B17)</f>
        <v/>
      </c>
      <c r="G17">
        <f>UPPER(B17)</f>
        <v/>
      </c>
      <c r="H17" s="11">
        <f>TODAY()-E17</f>
        <v/>
      </c>
    </row>
    <row r="18">
      <c r="A18" t="n">
        <v>3017</v>
      </c>
      <c r="B18" t="inlineStr">
        <is>
          <t>Employee 17</t>
        </is>
      </c>
      <c r="C18" t="inlineStr">
        <is>
          <t>HR</t>
        </is>
      </c>
      <c r="D18" s="14" t="n">
        <v>86915</v>
      </c>
      <c r="E18" s="13" t="n">
        <v>46005</v>
      </c>
      <c r="F18">
        <f>IFERROR(LEFT(B18, FIND(" ", B18)-1), B18)</f>
        <v/>
      </c>
      <c r="G18">
        <f>UPPER(B18)</f>
        <v/>
      </c>
      <c r="H18" s="11">
        <f>TODAY()-E18</f>
        <v/>
      </c>
    </row>
    <row r="19">
      <c r="A19" t="n">
        <v>3018</v>
      </c>
      <c r="B19" t="inlineStr">
        <is>
          <t>Employee 18</t>
        </is>
      </c>
      <c r="C19" t="inlineStr">
        <is>
          <t>IT</t>
        </is>
      </c>
      <c r="D19" s="14" t="n">
        <v>116284</v>
      </c>
      <c r="E19" s="13" t="n">
        <v>46255</v>
      </c>
      <c r="F19">
        <f>IFERROR(LEFT(B19, FIND(" ", B19)-1), B19)</f>
        <v/>
      </c>
      <c r="G19">
        <f>UPPER(B19)</f>
        <v/>
      </c>
      <c r="H19" s="11">
        <f>TODAY()-E19</f>
        <v/>
      </c>
    </row>
    <row r="20">
      <c r="A20" t="n">
        <v>3019</v>
      </c>
      <c r="B20" t="inlineStr">
        <is>
          <t>Employee 19</t>
        </is>
      </c>
      <c r="C20" t="inlineStr">
        <is>
          <t>Marketing</t>
        </is>
      </c>
      <c r="D20" s="14" t="n">
        <v>116283</v>
      </c>
      <c r="E20" s="13" t="n">
        <v>46505</v>
      </c>
      <c r="F20">
        <f>IFERROR(LEFT(B20, FIND(" ", B20)-1), B20)</f>
        <v/>
      </c>
      <c r="G20">
        <f>UPPER(B20)</f>
        <v/>
      </c>
      <c r="H20" s="11">
        <f>TODAY()-E20</f>
        <v/>
      </c>
    </row>
    <row r="21">
      <c r="A21" t="n">
        <v>3020</v>
      </c>
      <c r="B21" t="inlineStr">
        <is>
          <t>Employee 20</t>
        </is>
      </c>
      <c r="C21" t="inlineStr">
        <is>
          <t>Marketing</t>
        </is>
      </c>
      <c r="D21" s="14" t="n">
        <v>99924</v>
      </c>
      <c r="E21" s="13" t="n">
        <v>46755</v>
      </c>
      <c r="F21">
        <f>IFERROR(LEFT(B21, FIND(" ", B21)-1), B21)</f>
        <v/>
      </c>
      <c r="G21">
        <f>UPPER(B21)</f>
        <v/>
      </c>
      <c r="H21" s="11">
        <f>TODAY()-E21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85" customWidth="1" min="3" max="3"/>
  </cols>
  <sheetData>
    <row r="1">
      <c r="A1" s="5" t="inlineStr">
        <is>
          <t>Assignment Category</t>
        </is>
      </c>
      <c r="B1" s="5" t="inlineStr">
        <is>
          <t>Description</t>
        </is>
      </c>
      <c r="C1" s="5" t="inlineStr">
        <is>
          <t>Formula Used / Dynamic Output</t>
        </is>
      </c>
    </row>
    <row r="2">
      <c r="A2" s="8" t="inlineStr">
        <is>
          <t>COUNTIFS</t>
        </is>
      </c>
      <c r="B2" s="8" t="inlineStr">
        <is>
          <t>Count students scoring above 50 in Math</t>
        </is>
      </c>
      <c r="C2" s="9">
        <f>COUNTIFS('Students Grade'!C2:C21, "&gt;50")</f>
        <v/>
      </c>
    </row>
    <row r="3">
      <c r="A3" s="8" t="inlineStr">
        <is>
          <t>SUMIFS</t>
        </is>
      </c>
      <c r="B3" s="8" t="inlineStr">
        <is>
          <t>Sum total sales for 'Keyboard' in 'East'</t>
        </is>
      </c>
      <c r="C3" s="15">
        <f>SUMIFS('Sales Data'!E2:E21, 'Sales Data'!B2:B21, "Keyboard", 'Sales Data'!C2:C21, "East")</f>
        <v/>
      </c>
    </row>
    <row r="4">
      <c r="A4" s="8" t="inlineStr">
        <is>
          <t>AVERAGEIFS</t>
        </is>
      </c>
      <c r="B4" s="8" t="inlineStr">
        <is>
          <t>Average overall score for students who scored &gt; 60 in Science</t>
        </is>
      </c>
      <c r="C4" s="9">
        <f>AVERAGEIFS('Students Grade'!H2:H21, 'Students Grade'!D2:D21, "&gt;60")</f>
        <v/>
      </c>
    </row>
    <row r="5">
      <c r="A5" s="8" t="inlineStr">
        <is>
          <t>VLOOKUP</t>
        </is>
      </c>
      <c r="B5" s="8" t="inlineStr">
        <is>
          <t>Fetch Student Name for ID 1008</t>
        </is>
      </c>
      <c r="C5" s="9">
        <f>VLOOKUP(1008, 'Students Grade'!A2:B21, 2, FALSE)</f>
        <v/>
      </c>
    </row>
    <row r="6">
      <c r="A6" s="8" t="inlineStr">
        <is>
          <t>INDEX &amp; MATCH</t>
        </is>
      </c>
      <c r="B6" s="8" t="inlineStr">
        <is>
          <t>Sales Amount for 'Person 7'</t>
        </is>
      </c>
      <c r="C6" s="15">
        <f>INDEX('Sales Data'!E2:E21, MATCH("Person 7", 'Sales Data'!D2:D21, 0))</f>
        <v/>
      </c>
    </row>
    <row r="7">
      <c r="A7" s="8" t="inlineStr">
        <is>
          <t>XLOOKUP</t>
        </is>
      </c>
      <c r="B7" s="8" t="inlineStr">
        <is>
          <t>Fetch Employee Salary for 'Employee 15'</t>
        </is>
      </c>
      <c r="C7" s="15">
        <f>_xlfn.XLOOKUP("Employee 15",'Employee Data'!B2:B21,'Employee Data'!D2:D21,"Not Found")</f>
        <v/>
      </c>
    </row>
    <row r="8">
      <c r="A8" s="8" t="inlineStr">
        <is>
          <t>XMATCH</t>
        </is>
      </c>
      <c r="B8" s="8" t="inlineStr">
        <is>
          <t>Find row position of 'Laptop' in Sales</t>
        </is>
      </c>
      <c r="C8" s="9">
        <f>_xlfn.XMATCH("Laptop",'Sales Data'!B2:B21)</f>
        <v/>
      </c>
    </row>
    <row r="9">
      <c r="A9" s="8" t="inlineStr">
        <is>
          <t>INDIRECT</t>
        </is>
      </c>
      <c r="B9" s="8" t="inlineStr">
        <is>
          <t>Sum Sales Data E2:E5 dynamically</t>
        </is>
      </c>
      <c r="C9" s="9">
        <f>SUM(INDIRECT("'Sales Data'!E2:E5"))</f>
        <v/>
      </c>
    </row>
    <row r="10">
      <c r="A10" s="8" t="inlineStr">
        <is>
          <t>OFFSET</t>
        </is>
      </c>
      <c r="B10" s="8" t="inlineStr">
        <is>
          <t>Sum first 3 sales amounts (Offset from E1)</t>
        </is>
      </c>
      <c r="C10" s="9">
        <f>SUM(OFFSET('Sales Data'!E1, 1, 0, 3, 1))</f>
        <v/>
      </c>
    </row>
    <row r="11">
      <c r="A11" s="8" t="inlineStr">
        <is>
          <t>ROUND</t>
        </is>
      </c>
      <c r="B11" s="8" t="inlineStr">
        <is>
          <t>Round Employee 1's Salary / 12 to 2 decimals</t>
        </is>
      </c>
      <c r="C11" s="15">
        <f>ROUND('Employee Data'!D2/12, 2)</f>
        <v/>
      </c>
    </row>
    <row r="12">
      <c r="A12" s="8" t="inlineStr">
        <is>
          <t>FILTER</t>
        </is>
      </c>
      <c r="B12" s="8" t="inlineStr">
        <is>
          <t>Students with Average Score &gt;= 80</t>
        </is>
      </c>
      <c r="C12" s="9">
        <f t="array" ref="C12:C16">IFERROR(_xlfn._xlws.FILTER('Students Grade'!B2:B21,'Students Grade'!H2:H21&gt;=80),"")</f>
        <v/>
      </c>
    </row>
    <row r="13">
      <c r="C13" s="12" t="n"/>
    </row>
    <row r="14">
      <c r="C14" s="12" t="n"/>
    </row>
    <row r="15">
      <c r="C15" s="12" t="n"/>
    </row>
    <row r="16">
      <c r="C16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2026-10-03T16:12:56Z</dcterms:created>
  <dcterms:modified xmlns:dcterms="http://purl.org/dc/terms/" xmlns:xsi="http://www.w3.org/2001/XMLSchema-instance" xsi:type="dcterms:W3CDTF">2026-10-08T09:17:58Z</dcterms:modified>
</cp:coreProperties>
</file>